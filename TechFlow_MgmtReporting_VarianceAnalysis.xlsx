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ctuals" sheetId="2" state="visible" r:id="rId4"/>
    <sheet name="Variance_Analysis" sheetId="3" state="visible" r:id="rId5"/>
    <sheet name="KPI_Dashboard" sheetId="4" state="visible" r:id="rId6"/>
    <sheet name="Comment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<sst xmlns="http://schemas.openxmlformats.org/spreadsheetml/2006/main" count="185" uniqueCount="128">
  <si>
    <t xml:space="preserve">TechFlow SaaS — Management Reporting &amp; Variance Analysis</t>
  </si>
  <si>
    <t xml:space="preserve">Built by Minh Hoang | FP&amp;A Specialist | Upwork Portfolio Project #3</t>
  </si>
  <si>
    <t xml:space="preserve">ABOUT THIS MODEL</t>
  </si>
  <si>
    <t xml:space="preserve">Company</t>
  </si>
  <si>
    <t xml:space="preserve">TechFlow Inc. — illustrative B2B SaaS company ($30M ARR range)</t>
  </si>
  <si>
    <t xml:space="preserve">Purpose</t>
  </si>
  <si>
    <t xml:space="preserve">Monthly management reporting package: Budget vs Actual P&amp;L, variance analysis, revenue bridge, departmental cost breakdown, and KPI traffic light dashboard.</t>
  </si>
  <si>
    <t xml:space="preserve">Period</t>
  </si>
  <si>
    <t xml:space="preserve">FY2025 (Jan–Dec), monthly granularity with full-year rollup</t>
  </si>
  <si>
    <t xml:space="preserve">Currency</t>
  </si>
  <si>
    <t xml:space="preserve">USD</t>
  </si>
  <si>
    <t xml:space="preserve">Use Case</t>
  </si>
  <si>
    <t xml:space="preserve">Demonstrate real-world FP&amp;A reporting workflow: data intake → variance analysis → executive commentary → decision support</t>
  </si>
  <si>
    <t xml:space="preserve">HOW TO USE</t>
  </si>
  <si>
    <t xml:space="preserve">Step 1 → Actuals sheet: Enter monthly actual figures in the YELLOW cells. Budget is pre-loaded.</t>
  </si>
  <si>
    <t xml:space="preserve">Step 2 → Variance_Analysis: Auto-calculates $ and % variance with color-coded flags (green = favourable, red = unfavourable).</t>
  </si>
  <si>
    <t xml:space="preserve">Step 3 → Revenue_Bridge: See the revenue variance decomposed into Price, Volume, and Mix effects.</t>
  </si>
  <si>
    <t xml:space="preserve">Step 4 → Cost_Breakdown: Departmental opex split with budget vs actual by department.</t>
  </si>
  <si>
    <t xml:space="preserve">Step 5 → KPI_Dashboard: Traffic light indicators for all key metrics — present to leadership.</t>
  </si>
  <si>
    <t xml:space="preserve">Step 6 → Commentary: Pre-filled executive commentary template with variance explanations.</t>
  </si>
  <si>
    <t xml:space="preserve">COLOUR GUIDE</t>
  </si>
  <si>
    <t xml:space="preserve">Blue text</t>
  </si>
  <si>
    <t xml:space="preserve">Input / editable assumption</t>
  </si>
  <si>
    <t xml:space="preserve">Black text</t>
  </si>
  <si>
    <t xml:space="preserve">Formula / calculation</t>
  </si>
  <si>
    <t xml:space="preserve">Green text</t>
  </si>
  <si>
    <t xml:space="preserve">Cross-sheet link</t>
  </si>
  <si>
    <t xml:space="preserve">Yellow background</t>
  </si>
  <si>
    <t xml:space="preserve">Cell requires attention / data entry</t>
  </si>
  <si>
    <t xml:space="preserve">Green background</t>
  </si>
  <si>
    <t xml:space="preserve">Favourable variance</t>
  </si>
  <si>
    <t xml:space="preserve">Red background</t>
  </si>
  <si>
    <t xml:space="preserve">Unfavourable variance</t>
  </si>
  <si>
    <t xml:space="preserve">TechFlow SaaS — Monthly Actuals Data Entry</t>
  </si>
  <si>
    <t xml:space="preserve">Enter actual figures in YELLOW cells. Budget values are pre-loaded from the annual plan.</t>
  </si>
  <si>
    <t xml:space="preserve">Line Item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</si>
  <si>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</si>
  <si>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</si>
  <si>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</si>
  <si>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</si>
  <si>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</si>
  <si>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</si>
  <si>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</si>
  <si>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</si>
  <si>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</si>
  <si>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</si>
  <si>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</si>
  <si>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</si>
  <si>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FY2025</t>
  </si>
  <si>
    <t xml:space="preserve">── BUDGET ──</t>
  </si>
  <si>
    <t xml:space="preserve">REVENUE</t>
  </si>
  <si>
    <t xml:space="preserve">Subscription Revenue</t>
  </si>
  <si>
    <t xml:space="preserve">Professional Services</t>
  </si>
  <si>
    <t xml:space="preserve">Total Revenue</t>
  </si>
  <si>
    <t xml:space="preserve">COST OF GOODS SOLD</t>
  </si>
  <si>
    <t xml:space="preserve">Hosting &amp; Infrastructure</t>
  </si>
  <si>
    <t xml:space="preserve">Customer Support</t>
  </si>
  <si>
    <t xml:space="preserve">Total COGS</t>
  </si>
  <si>
    <t xml:space="preserve"> </t>
  </si>
  <si>
    <t xml:space="preserve">GROSS PROFIT</t>
  </si>
  <si>
    <t xml:space="preserve">Gross Margin %</t>
  </si>
  <si>
    <t xml:space="preserve">  </t>
  </si>
  <si>
    <t xml:space="preserve">OPERATING EXPENSES</t>
  </si>
  <si>
    <t xml:space="preserve">Sales &amp; Marketing</t>
  </si>
  <si>
    <t xml:space="preserve">Research &amp; Development</t>
  </si>
  <si>
    <t xml:space="preserve">General &amp; Administrative</t>
  </si>
  <si>
    <t xml:space="preserve">Total Opex</t>
  </si>
  <si>
    <t xml:space="preserve">   </t>
  </si>
  <si>
    <t xml:space="preserve">EBITDA</t>
  </si>
  <si>
    <t xml:space="preserve">EBITDA Margin %</t>
  </si>
  <si>
    <t xml:space="preserve">    </t>
  </si>
  <si>
    <t xml:space="preserve">Depreciation &amp; Amortization</t>
  </si>
  <si>
    <t xml:space="preserve">Interest Expense</t>
  </si>
  <si>
    <t xml:space="preserve">EBT</t>
  </si>
  <si>
    <t xml:space="preserve">Income Tax (21%)</t>
  </si>
  <si>
    <t xml:space="preserve">NET INCOME</t>
  </si>
  <si>
    <t xml:space="preserve">── ACTUALS ──</t>
  </si>
  <si>
    <t xml:space="preserve">TechFlow SaaS — Budget vs Actual Variance Analysis | FY2025</t>
  </si>
  <si>
    <t xml:space="preserve">Green = Favourable | Red = Unfavourable | All amounts in $000s. Formulas link to Actuals sheet.</t>
  </si>
  <si>
    <t xml:space="preserve">Budget (FY)</t>
  </si>
  <si>
    <t xml:space="preserve">Actual (FY)</t>
  </si>
  <si>
    <t xml:space="preserve">Variance $</t>
  </si>
  <si>
    <t xml:space="preserve">Variance %</t>
  </si>
  <si>
    <t xml:space="preserve">Status</t>
  </si>
  <si>
    <t xml:space="preserve">Q1 Bud</t>
  </si>
  <si>
    <t xml:space="preserve">Q1 Act</t>
  </si>
  <si>
    <t xml:space="preserve">Q1 Var $</t>
  </si>
  <si>
    <t xml:space="preserve">TechFlow SaaS — KPI Traffic Light Dashboard | FY2025</t>
  </si>
  <si>
    <t xml:space="preserve">Auto-linked to Actuals sheet. Present this page to leadership.</t>
  </si>
  <si>
    <t xml:space="preserve">KPI</t>
  </si>
  <si>
    <t xml:space="preserve">Budget</t>
  </si>
  <si>
    <t xml:space="preserve">Actual</t>
  </si>
  <si>
    <t xml:space="preserve">Variance</t>
  </si>
  <si>
    <t xml:space="preserve">Commentary</t>
  </si>
  <si>
    <t xml:space="preserve">Total Revenue ($K)</t>
  </si>
  <si>
    <t xml:space="preserve">Revenue beat driven by strong subscription growth</t>
  </si>
  <si>
    <t xml:space="preserve">Margin stable despite infrastructure cost pressure</t>
  </si>
  <si>
    <t xml:space="preserve">EBITDA ($K)</t>
  </si>
  <si>
    <t xml:space="preserve">Opex discipline offset by higher S&amp;M spend</t>
  </si>
  <si>
    <t xml:space="preserve">Net Income ($K)</t>
  </si>
  <si>
    <t xml:space="preserve">Tax benefit from lower effective rate</t>
  </si>
  <si>
    <t xml:space="preserve">S&amp;M as % Revenue</t>
  </si>
  <si>
    <t xml:space="preserve">Slightly above plan — monitor CAC efficiency</t>
  </si>
  <si>
    <t xml:space="preserve">R&amp;D as % Revenue</t>
  </si>
  <si>
    <t xml:space="preserve">On track with product roadmap investment</t>
  </si>
  <si>
    <t xml:space="preserve">TechFlow SaaS — Executive Variance Commentary | FY2025</t>
  </si>
  <si>
    <t xml:space="preserve">Pre-filled template. Update commentary each month before leadership review.</t>
  </si>
  <si>
    <t xml:space="preserve">Category</t>
  </si>
  <si>
    <t xml:space="preserve">Action / Owner</t>
  </si>
  <si>
    <t xml:space="preserve">Revenue</t>
  </si>
  <si>
    <t xml:space="preserve">Subscription revenue tracking $335K above plan YTD, driven by higher-than-expected enterprise deal velocity in Q1 and Q3. Professional services revenue mixed — Q2 shortfall offset by Q3 recovery.</t>
  </si>
  <si>
    <t xml:space="preserve">RevOps to update pipeline forecast by 15th</t>
  </si>
  <si>
    <t xml:space="preserve">Gross Margin</t>
  </si>
  <si>
    <t xml:space="preserve">Gross margin stable at ~86% vs 83.3% budget. Hosting costs rising with user growth but offset by infrastructure optimization project completed in Q2.</t>
  </si>
  <si>
    <t xml:space="preserve">Infra team to present cost roadmap at next QBR</t>
  </si>
  <si>
    <t xml:space="preserve">S&amp;M spend $100K over plan YTD. Incremental spend allocated to paid acquisition following strong Q1 pipeline conversion. CAC payback within 12-month target.</t>
  </si>
  <si>
    <t xml:space="preserve">CMO reviewing channel mix efficiency for Q4</t>
  </si>
  <si>
    <t xml:space="preserve">R&amp;D</t>
  </si>
  <si>
    <t xml:space="preserve">R&amp;D spend approximately on plan. Hiring 2 months behind schedule (tight market) created temporary underspend. Contractors engaged to maintain roadmap velocity.</t>
  </si>
  <si>
    <t xml:space="preserve">VP Eng to present updated hiring timeline</t>
  </si>
  <si>
    <t xml:space="preserve">G&amp;A</t>
  </si>
  <si>
    <t xml:space="preserve">G&amp;A tracking $25K over plan driven by legal costs for SOC 2 certification (one-time). Underlying run rate on track.</t>
  </si>
  <si>
    <t xml:space="preserve">CFO to reclassify SOC 2 costs to project bucket</t>
  </si>
  <si>
    <t xml:space="preserve">EBITDA favourable to plan driven by revenue beat partially offset by S&amp;M overspend. Margin compression expected in Q4 as deferred hires start.</t>
  </si>
  <si>
    <t xml:space="preserve">FP&amp;A to update rolling forecast by month-end</t>
  </si>
  <si>
    <t xml:space="preserve">Cash &amp; Liquidity</t>
  </si>
  <si>
    <t xml:space="preserve">No cash concerns. Operating cash flow positive every month. Runway &gt;18 months at current burn.</t>
  </si>
  <si>
    <t xml:space="preserve">Treasury to present investment options for excess cash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</si>
</sst>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;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761"/>
      <name val="Arial"/>
      <family val="0"/>
      <charset val="1"/>
    </font>
    <font>
      <sz val="10"/>
      <color rgb="FF475569"/>
      <name val="Arial"/>
      <family val="0"/>
      <charset val="1"/>
    </font>
    <font>
      <b val="true"/>
      <sz val="11"/>
      <color rgb="FF1E276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47857"/>
      <name val="Arial"/>
      <family val="0"/>
      <charset val="1"/>
    </font>
    <font>
      <sz val="10"/>
      <color rgb="FFB91C1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276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EF3C7"/>
      </patternFill>
    </fill>
    <fill>
      <patternFill patternType="solid">
        <fgColor rgb="FFFFFF00"/>
        <bgColor rgb="FFFFFF00"/>
      </patternFill>
    </fill>
    <fill>
      <patternFill patternType="solid">
        <fgColor rgb="FFD1FAE5"/>
        <bgColor rgb="FFE2E8F0"/>
      </patternFill>
    </fill>
    <fill>
      <patternFill patternType="solid">
        <fgColor rgb="FFFEE2E2"/>
        <bgColor rgb="FFFEF3C7"/>
      </patternFill>
    </fill>
    <fill>
      <patternFill patternType="solid">
        <fgColor rgb="FF1E3A5F"/>
        <bgColor rgb="FF1E2761"/>
      </patternFill>
    </fill>
    <fill>
      <patternFill patternType="solid">
        <fgColor rgb="FFCADCFC"/>
        <bgColor rgb="FFCBD5E1"/>
      </patternFill>
    </fill>
    <fill>
      <patternFill patternType="solid">
        <fgColor rgb="FFE2E8F0"/>
        <bgColor rgb="FFCADCFC"/>
      </patternFill>
    </fill>
    <fill>
      <patternFill patternType="solid">
        <fgColor rgb="FFFEF3C7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8B5CF6"/>
      <rgbColor rgb="FF993366"/>
      <rgbColor rgb="FFFEF3C7"/>
      <rgbColor rgb="FFE2E8F0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ADCFC"/>
      <rgbColor rgb="FFD1FAE5"/>
      <rgbColor rgb="FFFFFF99"/>
      <rgbColor rgb="FF99CCFF"/>
      <rgbColor rgb="FFFF99CC"/>
      <rgbColor rgb="FFCC99FF"/>
      <rgbColor rgb="FFFEE2E2"/>
      <rgbColor rgb="FF3B82F6"/>
      <rgbColor rgb="FF33CCCC"/>
      <rgbColor rgb="FF99CC00"/>
      <rgbColor rgb="FFFFCC00"/>
      <rgbColor rgb="FFF59E0B"/>
      <rgbColor rgb="FFFF6600"/>
      <rgbColor rgb="FF475569"/>
      <rgbColor rgb="FF969696"/>
      <rgbColor rgb="FF1E3A5F"/>
      <rgbColor rgb="FF10B981"/>
      <rgbColor rgb="FF003300"/>
      <rgbColor rgb="FF333300"/>
      <rgbColor rgb="FFB91C1C"/>
      <rgbColor rgb="FF993366"/>
      <rgbColor rgb="FF333399"/>
      <rgbColor rgb="FF1E276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2761"/>
    <pageSetUpPr fitToPage="false"/>
  </sheetPr>
  <dimension ref="B2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50"/>
  </cols>
  <sheetData>
    <row r="2" customFormat="false" ht="19.7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  <c r="C5" s="3"/>
    </row>
    <row r="7" customFormat="false" ht="15" hidden="false" customHeight="false" outlineLevel="0" collapsed="false">
      <c r="B7" s="4" t="s">
        <v>3</v>
      </c>
      <c r="C7" s="5" t="s">
        <v>4</v>
      </c>
    </row>
    <row r="8" customFormat="false" ht="15" hidden="false" customHeight="false" outlineLevel="0" collapsed="false">
      <c r="B8" s="4" t="s">
        <v>5</v>
      </c>
      <c r="C8" s="5" t="s">
        <v>6</v>
      </c>
    </row>
    <row r="9" customFormat="false" ht="15" hidden="false" customHeight="false" outlineLevel="0" collapsed="false">
      <c r="B9" s="4" t="s">
        <v>7</v>
      </c>
      <c r="C9" s="5" t="s">
        <v>8</v>
      </c>
    </row>
    <row r="10" customFormat="false" ht="15" hidden="false" customHeight="false" outlineLevel="0" collapsed="false">
      <c r="B10" s="4" t="s">
        <v>9</v>
      </c>
      <c r="C10" s="5" t="s">
        <v>10</v>
      </c>
    </row>
    <row r="11" customFormat="false" ht="15" hidden="false" customHeight="false" outlineLevel="0" collapsed="false">
      <c r="B11" s="4" t="s">
        <v>11</v>
      </c>
      <c r="C11" s="5" t="s">
        <v>12</v>
      </c>
    </row>
    <row r="14" customFormat="false" ht="15" hidden="false" customHeight="false" outlineLevel="0" collapsed="false">
      <c r="B14" s="3" t="s">
        <v>13</v>
      </c>
      <c r="C14" s="3"/>
    </row>
    <row r="16" customFormat="false" ht="15" hidden="false" customHeight="false" outlineLevel="0" collapsed="false">
      <c r="B16" s="6" t="s">
        <v>14</v>
      </c>
      <c r="C16" s="6"/>
    </row>
    <row r="17" customFormat="false" ht="15" hidden="false" customHeight="false" outlineLevel="0" collapsed="false">
      <c r="B17" s="6" t="s">
        <v>15</v>
      </c>
      <c r="C17" s="6"/>
    </row>
    <row r="18" customFormat="false" ht="15" hidden="false" customHeight="false" outlineLevel="0" collapsed="false">
      <c r="B18" s="6" t="s">
        <v>16</v>
      </c>
      <c r="C18" s="6"/>
    </row>
    <row r="19" customFormat="false" ht="15" hidden="false" customHeight="false" outlineLevel="0" collapsed="false">
      <c r="B19" s="6" t="s">
        <v>17</v>
      </c>
      <c r="C19" s="6"/>
    </row>
    <row r="20" customFormat="false" ht="15" hidden="false" customHeight="false" outlineLevel="0" collapsed="false">
      <c r="B20" s="6" t="s">
        <v>18</v>
      </c>
      <c r="C20" s="6"/>
    </row>
    <row r="21" customFormat="false" ht="15" hidden="false" customHeight="false" outlineLevel="0" collapsed="false">
      <c r="B21" s="6" t="s">
        <v>19</v>
      </c>
      <c r="C21" s="6"/>
    </row>
    <row r="24" customFormat="false" ht="15" hidden="false" customHeight="false" outlineLevel="0" collapsed="false">
      <c r="B24" s="3" t="s">
        <v>20</v>
      </c>
      <c r="C24" s="3"/>
    </row>
    <row r="26" customFormat="false" ht="15" hidden="false" customHeight="false" outlineLevel="0" collapsed="false">
      <c r="B26" s="7" t="s">
        <v>21</v>
      </c>
      <c r="C26" s="5" t="s">
        <v>22</v>
      </c>
    </row>
    <row r="27" customFormat="false" ht="15" hidden="false" customHeight="false" outlineLevel="0" collapsed="false">
      <c r="B27" s="8" t="s">
        <v>23</v>
      </c>
      <c r="C27" s="5" t="s">
        <v>24</v>
      </c>
    </row>
    <row r="28" customFormat="false" ht="15" hidden="false" customHeight="false" outlineLevel="0" collapsed="false">
      <c r="B28" s="9" t="s">
        <v>25</v>
      </c>
      <c r="C28" s="5" t="s">
        <v>26</v>
      </c>
    </row>
    <row r="29" customFormat="false" ht="15" hidden="false" customHeight="false" outlineLevel="0" collapsed="false">
      <c r="B29" s="10" t="s">
        <v>27</v>
      </c>
      <c r="C29" s="5" t="s">
        <v>28</v>
      </c>
    </row>
    <row r="30" customFormat="false" ht="15" hidden="false" customHeight="false" outlineLevel="0" collapsed="false">
      <c r="B30" s="11" t="s">
        <v>29</v>
      </c>
      <c r="C30" s="5" t="s">
        <v>30</v>
      </c>
    </row>
    <row r="31" customFormat="false" ht="15" hidden="false" customHeight="false" outlineLevel="0" collapsed="false">
      <c r="B31" s="12" t="s">
        <v>31</v>
      </c>
      <c r="C31" s="5" t="s">
        <v>32</v>
      </c>
    </row>
  </sheetData>
  <mergeCells count="11">
    <mergeCell ref="B2:C2"/>
    <mergeCell ref="B3:C3"/>
    <mergeCell ref="B5:C5"/>
    <mergeCell ref="B14:C14"/>
    <mergeCell ref="B16:C16"/>
    <mergeCell ref="B17:C17"/>
    <mergeCell ref="B18:C18"/>
    <mergeCell ref="B19:C19"/>
    <mergeCell ref="B20:C20"/>
    <mergeCell ref="B21:C21"/>
    <mergeCell ref="B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B1:O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14" min="3" style="0" width="14"/>
    <col collapsed="false" customWidth="true" hidden="false" outlineLevel="0" max="15" min="15" style="0" width="16"/>
  </cols>
  <sheetData>
    <row r="1" customFormat="false" ht="19.7" hidden="false" customHeight="false" outlineLevel="0" collapsed="false">
      <c r="B1" s="1" t="s">
        <v>33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B2" s="2" t="s">
        <v>34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B4" s="13" t="s">
        <v>35</v>
      </c>
      <c r="C4" s="13" t="s">
        <v>36</v>
      </c>
      <c r="D4" s="13" t="s">
        <v>37</v>
      </c>
      <c r="E4" s="13" t="s">
        <v>38</v>
      </c>
      <c r="F4" s="13" t="s">
        <v>39</v>
      </c>
      <c r="G4" s="13" t="s">
        <v>40</v>
      </c>
      <c r="H4" s="13" t="s">
        <v>41</v>
      </c>
      <c r="I4" s="13" t="s">
        <v>42</v>
      </c>
      <c r="J4" s="13" t="s">
        <v>43</v>
      </c>
      <c r="K4" s="13" t="s">
        <v>44</v>
      </c>
      <c r="L4" s="13" t="s">
        <v>45</v>
      </c>
      <c r="M4" s="13" t="s">
        <v>46</v>
      </c>
      <c r="N4" s="13" t="s">
        <v>47</v>
      </c>
      <c r="O4" s="13" t="s">
        <v>48</v>
      </c>
    </row>
    <row r="5" customFormat="false" ht="15" hidden="false" customHeight="false" outlineLevel="0" collapsed="false">
      <c r="B5" s="14" t="s">
        <v>49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customFormat="false" ht="15" hidden="false" customHeight="false" outlineLevel="0" collapsed="false">
      <c r="B6" s="16" t="s">
        <v>50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customFormat="false" ht="15" hidden="false" customHeight="false" outlineLevel="0" collapsed="false">
      <c r="B7" s="18" t="s">
        <v>51</v>
      </c>
      <c r="C7" s="19" t="n">
        <v>2450</v>
      </c>
      <c r="D7" s="19" t="n">
        <v>2475</v>
      </c>
      <c r="E7" s="19" t="n">
        <v>2500</v>
      </c>
      <c r="F7" s="19" t="n">
        <v>2530</v>
      </c>
      <c r="G7" s="19" t="n">
        <v>2560</v>
      </c>
      <c r="H7" s="19" t="n">
        <v>2590</v>
      </c>
      <c r="I7" s="19" t="n">
        <v>2625</v>
      </c>
      <c r="J7" s="19" t="n">
        <v>2660</v>
      </c>
      <c r="K7" s="19" t="n">
        <v>2695</v>
      </c>
      <c r="L7" s="19" t="n">
        <v>2730</v>
      </c>
      <c r="M7" s="19" t="n">
        <v>2770</v>
      </c>
      <c r="N7" s="19" t="n">
        <v>2810</v>
      </c>
      <c r="O7" s="20" t="n">
        <f aca="false">SUM(C7:N7)</f>
        <v>31395</v>
      </c>
    </row>
    <row r="8" customFormat="false" ht="15" hidden="false" customHeight="false" outlineLevel="0" collapsed="false">
      <c r="B8" s="18" t="s">
        <v>52</v>
      </c>
      <c r="C8" s="19" t="n">
        <v>180</v>
      </c>
      <c r="D8" s="19" t="n">
        <v>185</v>
      </c>
      <c r="E8" s="19" t="n">
        <v>190</v>
      </c>
      <c r="F8" s="19" t="n">
        <v>195</v>
      </c>
      <c r="G8" s="19" t="n">
        <v>200</v>
      </c>
      <c r="H8" s="19" t="n">
        <v>205</v>
      </c>
      <c r="I8" s="19" t="n">
        <v>210</v>
      </c>
      <c r="J8" s="19" t="n">
        <v>215</v>
      </c>
      <c r="K8" s="19" t="n">
        <v>220</v>
      </c>
      <c r="L8" s="19" t="n">
        <v>225</v>
      </c>
      <c r="M8" s="19" t="n">
        <v>230</v>
      </c>
      <c r="N8" s="19" t="n">
        <v>240</v>
      </c>
      <c r="O8" s="20" t="n">
        <f aca="false">SUM(C8:N8)</f>
        <v>2495</v>
      </c>
    </row>
    <row r="9" customFormat="false" ht="15" hidden="false" customHeight="false" outlineLevel="0" collapsed="false">
      <c r="B9" s="21" t="s">
        <v>53</v>
      </c>
      <c r="C9" s="20" t="n">
        <f aca="false">C7+C8</f>
        <v>2630</v>
      </c>
      <c r="D9" s="20" t="n">
        <f aca="false">D7+D8</f>
        <v>2660</v>
      </c>
      <c r="E9" s="20" t="n">
        <f aca="false">E7+E8</f>
        <v>2690</v>
      </c>
      <c r="F9" s="20" t="n">
        <f aca="false">F7+F8</f>
        <v>2725</v>
      </c>
      <c r="G9" s="20" t="n">
        <f aca="false">G7+G8</f>
        <v>2760</v>
      </c>
      <c r="H9" s="20" t="n">
        <f aca="false">H7+H8</f>
        <v>2795</v>
      </c>
      <c r="I9" s="20" t="n">
        <f aca="false">I7+I8</f>
        <v>2835</v>
      </c>
      <c r="J9" s="20" t="n">
        <f aca="false">J7+J8</f>
        <v>2875</v>
      </c>
      <c r="K9" s="20" t="n">
        <f aca="false">K7+K8</f>
        <v>2915</v>
      </c>
      <c r="L9" s="20" t="n">
        <f aca="false">L7+L8</f>
        <v>2955</v>
      </c>
      <c r="M9" s="20" t="n">
        <f aca="false">M7+M8</f>
        <v>3000</v>
      </c>
      <c r="N9" s="20" t="n">
        <f aca="false">N7+N8</f>
        <v>3050</v>
      </c>
      <c r="O9" s="20" t="n">
        <f aca="false">SUM(C9:N9)</f>
        <v>33890</v>
      </c>
    </row>
    <row r="10" customFormat="false" ht="15" hidden="false" customHeight="false" outlineLevel="0" collapsed="false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customFormat="false" ht="15" hidden="false" customHeight="false" outlineLevel="0" collapsed="false">
      <c r="B11" s="16" t="s">
        <v>54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customFormat="false" ht="15" hidden="false" customHeight="false" outlineLevel="0" collapsed="false">
      <c r="B12" s="18" t="s">
        <v>55</v>
      </c>
      <c r="C12" s="19" t="n">
        <v>245</v>
      </c>
      <c r="D12" s="19" t="n">
        <v>248</v>
      </c>
      <c r="E12" s="19" t="n">
        <v>250</v>
      </c>
      <c r="F12" s="19" t="n">
        <v>253</v>
      </c>
      <c r="G12" s="19" t="n">
        <v>256</v>
      </c>
      <c r="H12" s="19" t="n">
        <v>259</v>
      </c>
      <c r="I12" s="19" t="n">
        <v>263</v>
      </c>
      <c r="J12" s="19" t="n">
        <v>266</v>
      </c>
      <c r="K12" s="19" t="n">
        <v>270</v>
      </c>
      <c r="L12" s="19" t="n">
        <v>273</v>
      </c>
      <c r="M12" s="19" t="n">
        <v>277</v>
      </c>
      <c r="N12" s="19" t="n">
        <v>281</v>
      </c>
      <c r="O12" s="20" t="n">
        <f aca="false">SUM(C12:N12)</f>
        <v>3141</v>
      </c>
    </row>
    <row r="13" customFormat="false" ht="15" hidden="false" customHeight="false" outlineLevel="0" collapsed="false">
      <c r="B13" s="18" t="s">
        <v>56</v>
      </c>
      <c r="C13" s="19" t="n">
        <v>195</v>
      </c>
      <c r="D13" s="19" t="n">
        <v>197</v>
      </c>
      <c r="E13" s="19" t="n">
        <v>200</v>
      </c>
      <c r="F13" s="19" t="n">
        <v>202</v>
      </c>
      <c r="G13" s="19" t="n">
        <v>204</v>
      </c>
      <c r="H13" s="19" t="n">
        <v>207</v>
      </c>
      <c r="I13" s="19" t="n">
        <v>210</v>
      </c>
      <c r="J13" s="19" t="n">
        <v>212</v>
      </c>
      <c r="K13" s="19" t="n">
        <v>215</v>
      </c>
      <c r="L13" s="19" t="n">
        <v>218</v>
      </c>
      <c r="M13" s="19" t="n">
        <v>221</v>
      </c>
      <c r="N13" s="19" t="n">
        <v>224</v>
      </c>
      <c r="O13" s="20" t="n">
        <f aca="false">SUM(C13:N13)</f>
        <v>2505</v>
      </c>
    </row>
    <row r="14" customFormat="false" ht="15" hidden="false" customHeight="false" outlineLevel="0" collapsed="false">
      <c r="B14" s="21" t="s">
        <v>57</v>
      </c>
      <c r="C14" s="20" t="n">
        <f aca="false">C12+C13</f>
        <v>440</v>
      </c>
      <c r="D14" s="20" t="n">
        <f aca="false">D12+D13</f>
        <v>445</v>
      </c>
      <c r="E14" s="20" t="n">
        <f aca="false">E12+E13</f>
        <v>450</v>
      </c>
      <c r="F14" s="20" t="n">
        <f aca="false">F12+F13</f>
        <v>455</v>
      </c>
      <c r="G14" s="20" t="n">
        <f aca="false">G12+G13</f>
        <v>460</v>
      </c>
      <c r="H14" s="20" t="n">
        <f aca="false">H12+H13</f>
        <v>466</v>
      </c>
      <c r="I14" s="20" t="n">
        <f aca="false">I12+I13</f>
        <v>473</v>
      </c>
      <c r="J14" s="20" t="n">
        <f aca="false">J12+J13</f>
        <v>478</v>
      </c>
      <c r="K14" s="20" t="n">
        <f aca="false">K12+K13</f>
        <v>485</v>
      </c>
      <c r="L14" s="20" t="n">
        <f aca="false">L12+L13</f>
        <v>491</v>
      </c>
      <c r="M14" s="20" t="n">
        <f aca="false">M12+M13</f>
        <v>498</v>
      </c>
      <c r="N14" s="20" t="n">
        <f aca="false">N12+N13</f>
        <v>505</v>
      </c>
      <c r="O14" s="20" t="n">
        <f aca="false">SUM(C14:N14)</f>
        <v>5646</v>
      </c>
    </row>
    <row r="15" customFormat="false" ht="15" hidden="false" customHeight="false" outlineLevel="0" collapsed="false">
      <c r="B15" s="16" t="s">
        <v>58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customFormat="false" ht="15" hidden="false" customHeight="false" outlineLevel="0" collapsed="false">
      <c r="B16" s="21" t="s">
        <v>59</v>
      </c>
      <c r="C16" s="20" t="n">
        <f aca="false">C9-C14</f>
        <v>2190</v>
      </c>
      <c r="D16" s="20" t="n">
        <f aca="false">D9-D14</f>
        <v>2215</v>
      </c>
      <c r="E16" s="20" t="n">
        <f aca="false">E9-E14</f>
        <v>2240</v>
      </c>
      <c r="F16" s="20" t="n">
        <f aca="false">F9-F14</f>
        <v>2270</v>
      </c>
      <c r="G16" s="20" t="n">
        <f aca="false">G9-G14</f>
        <v>2300</v>
      </c>
      <c r="H16" s="20" t="n">
        <f aca="false">H9-H14</f>
        <v>2329</v>
      </c>
      <c r="I16" s="20" t="n">
        <f aca="false">I9-I14</f>
        <v>2362</v>
      </c>
      <c r="J16" s="20" t="n">
        <f aca="false">J9-J14</f>
        <v>2397</v>
      </c>
      <c r="K16" s="20" t="n">
        <f aca="false">K9-K14</f>
        <v>2430</v>
      </c>
      <c r="L16" s="20" t="n">
        <f aca="false">L9-L14</f>
        <v>2464</v>
      </c>
      <c r="M16" s="20" t="n">
        <f aca="false">M9-M14</f>
        <v>2502</v>
      </c>
      <c r="N16" s="20" t="n">
        <f aca="false">N9-N14</f>
        <v>2545</v>
      </c>
      <c r="O16" s="20" t="n">
        <f aca="false">SUM(C16:N16)</f>
        <v>28244</v>
      </c>
    </row>
    <row r="17" customFormat="false" ht="15" hidden="false" customHeight="false" outlineLevel="0" collapsed="false">
      <c r="B17" s="18" t="s">
        <v>60</v>
      </c>
      <c r="C17" s="22" t="n">
        <f aca="false">IF(C9=0,0,C16/C9)</f>
        <v>0.832699619771863</v>
      </c>
      <c r="D17" s="22" t="n">
        <f aca="false">IF(D9=0,0,D16/D9)</f>
        <v>0.832706766917293</v>
      </c>
      <c r="E17" s="22" t="n">
        <f aca="false">IF(E9=0,0,E16/E9)</f>
        <v>0.83271375464684</v>
      </c>
      <c r="F17" s="22" t="n">
        <f aca="false">IF(F9=0,0,F16/F9)</f>
        <v>0.83302752293578</v>
      </c>
      <c r="G17" s="22" t="n">
        <f aca="false">IF(G9=0,0,G16/G9)</f>
        <v>0.833333333333333</v>
      </c>
      <c r="H17" s="22" t="n">
        <f aca="false">IF(H9=0,0,H16/H9)</f>
        <v>0.833273703041145</v>
      </c>
      <c r="I17" s="22" t="n">
        <f aca="false">IF(I9=0,0,I16/I9)</f>
        <v>0.8331569664903</v>
      </c>
      <c r="J17" s="22" t="n">
        <f aca="false">IF(J9=0,0,J16/J9)</f>
        <v>0.833739130434783</v>
      </c>
      <c r="K17" s="22" t="n">
        <f aca="false">IF(K9=0,0,K16/K9)</f>
        <v>0.833619210977702</v>
      </c>
      <c r="L17" s="22" t="n">
        <f aca="false">IF(L9=0,0,L16/L9)</f>
        <v>0.833840947546531</v>
      </c>
      <c r="M17" s="22" t="n">
        <f aca="false">IF(M9=0,0,M16/M9)</f>
        <v>0.834</v>
      </c>
      <c r="N17" s="22" t="n">
        <f aca="false">IF(N9=0,0,N16/N9)</f>
        <v>0.834426229508197</v>
      </c>
      <c r="O17" s="22" t="n">
        <f aca="false">IF(O9=0,0,O16/O9)</f>
        <v>0.833402183534966</v>
      </c>
    </row>
    <row r="18" customFormat="false" ht="15" hidden="false" customHeight="false" outlineLevel="0" collapsed="false">
      <c r="B18" s="16" t="s">
        <v>61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customFormat="false" ht="15" hidden="false" customHeight="false" outlineLevel="0" collapsed="false">
      <c r="B19" s="16" t="s">
        <v>62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customFormat="false" ht="15" hidden="false" customHeight="false" outlineLevel="0" collapsed="false">
      <c r="B20" s="18" t="s">
        <v>63</v>
      </c>
      <c r="C20" s="19" t="n">
        <v>520</v>
      </c>
      <c r="D20" s="19" t="n">
        <v>530</v>
      </c>
      <c r="E20" s="19" t="n">
        <v>540</v>
      </c>
      <c r="F20" s="19" t="n">
        <v>550</v>
      </c>
      <c r="G20" s="19" t="n">
        <v>560</v>
      </c>
      <c r="H20" s="19" t="n">
        <v>570</v>
      </c>
      <c r="I20" s="19" t="n">
        <v>580</v>
      </c>
      <c r="J20" s="19" t="n">
        <v>590</v>
      </c>
      <c r="K20" s="19" t="n">
        <v>600</v>
      </c>
      <c r="L20" s="19" t="n">
        <v>610</v>
      </c>
      <c r="M20" s="19" t="n">
        <v>620</v>
      </c>
      <c r="N20" s="19" t="n">
        <v>640</v>
      </c>
      <c r="O20" s="20" t="n">
        <f aca="false">SUM(C20:N20)</f>
        <v>6910</v>
      </c>
    </row>
    <row r="21" customFormat="false" ht="15" hidden="false" customHeight="false" outlineLevel="0" collapsed="false">
      <c r="B21" s="18" t="s">
        <v>64</v>
      </c>
      <c r="C21" s="19" t="n">
        <v>680</v>
      </c>
      <c r="D21" s="19" t="n">
        <v>685</v>
      </c>
      <c r="E21" s="19" t="n">
        <v>690</v>
      </c>
      <c r="F21" s="19" t="n">
        <v>695</v>
      </c>
      <c r="G21" s="19" t="n">
        <v>700</v>
      </c>
      <c r="H21" s="19" t="n">
        <v>705</v>
      </c>
      <c r="I21" s="19" t="n">
        <v>710</v>
      </c>
      <c r="J21" s="19" t="n">
        <v>715</v>
      </c>
      <c r="K21" s="19" t="n">
        <v>720</v>
      </c>
      <c r="L21" s="19" t="n">
        <v>725</v>
      </c>
      <c r="M21" s="19" t="n">
        <v>730</v>
      </c>
      <c r="N21" s="19" t="n">
        <v>740</v>
      </c>
      <c r="O21" s="20" t="n">
        <f aca="false">SUM(C21:N21)</f>
        <v>8495</v>
      </c>
    </row>
    <row r="22" customFormat="false" ht="15" hidden="false" customHeight="false" outlineLevel="0" collapsed="false">
      <c r="B22" s="18" t="s">
        <v>65</v>
      </c>
      <c r="C22" s="19" t="n">
        <v>280</v>
      </c>
      <c r="D22" s="19" t="n">
        <v>282</v>
      </c>
      <c r="E22" s="19" t="n">
        <v>284</v>
      </c>
      <c r="F22" s="19" t="n">
        <v>286</v>
      </c>
      <c r="G22" s="19" t="n">
        <v>288</v>
      </c>
      <c r="H22" s="19" t="n">
        <v>290</v>
      </c>
      <c r="I22" s="19" t="n">
        <v>292</v>
      </c>
      <c r="J22" s="19" t="n">
        <v>294</v>
      </c>
      <c r="K22" s="19" t="n">
        <v>296</v>
      </c>
      <c r="L22" s="19" t="n">
        <v>298</v>
      </c>
      <c r="M22" s="19" t="n">
        <v>300</v>
      </c>
      <c r="N22" s="19" t="n">
        <v>305</v>
      </c>
      <c r="O22" s="20" t="n">
        <f aca="false">SUM(C22:N22)</f>
        <v>3495</v>
      </c>
    </row>
    <row r="23" customFormat="false" ht="15" hidden="false" customHeight="false" outlineLevel="0" collapsed="false">
      <c r="B23" s="21" t="s">
        <v>66</v>
      </c>
      <c r="C23" s="20" t="n">
        <f aca="false">C20+C21+C22</f>
        <v>1480</v>
      </c>
      <c r="D23" s="20" t="n">
        <f aca="false">D20+D21+D22</f>
        <v>1497</v>
      </c>
      <c r="E23" s="20" t="n">
        <f aca="false">E20+E21+E22</f>
        <v>1514</v>
      </c>
      <c r="F23" s="20" t="n">
        <f aca="false">F20+F21+F22</f>
        <v>1531</v>
      </c>
      <c r="G23" s="20" t="n">
        <f aca="false">G20+G21+G22</f>
        <v>1548</v>
      </c>
      <c r="H23" s="20" t="n">
        <f aca="false">H20+H21+H22</f>
        <v>1565</v>
      </c>
      <c r="I23" s="20" t="n">
        <f aca="false">I20+I21+I22</f>
        <v>1582</v>
      </c>
      <c r="J23" s="20" t="n">
        <f aca="false">J20+J21+J22</f>
        <v>1599</v>
      </c>
      <c r="K23" s="20" t="n">
        <f aca="false">K20+K21+K22</f>
        <v>1616</v>
      </c>
      <c r="L23" s="20" t="n">
        <f aca="false">L20+L21+L22</f>
        <v>1633</v>
      </c>
      <c r="M23" s="20" t="n">
        <f aca="false">M20+M21+M22</f>
        <v>1650</v>
      </c>
      <c r="N23" s="20" t="n">
        <f aca="false">N20+N21+N22</f>
        <v>1685</v>
      </c>
      <c r="O23" s="20" t="n">
        <f aca="false">SUM(C23:N23)</f>
        <v>18900</v>
      </c>
    </row>
    <row r="24" customFormat="false" ht="15" hidden="false" customHeight="false" outlineLevel="0" collapsed="false">
      <c r="B24" s="16" t="s">
        <v>67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customFormat="false" ht="15" hidden="false" customHeight="false" outlineLevel="0" collapsed="false">
      <c r="B25" s="21" t="s">
        <v>68</v>
      </c>
      <c r="C25" s="20" t="n">
        <f aca="false">C16-C23</f>
        <v>710</v>
      </c>
      <c r="D25" s="20" t="n">
        <f aca="false">D16-D23</f>
        <v>718</v>
      </c>
      <c r="E25" s="20" t="n">
        <f aca="false">E16-E23</f>
        <v>726</v>
      </c>
      <c r="F25" s="20" t="n">
        <f aca="false">F16-F23</f>
        <v>739</v>
      </c>
      <c r="G25" s="20" t="n">
        <f aca="false">G16-G23</f>
        <v>752</v>
      </c>
      <c r="H25" s="20" t="n">
        <f aca="false">H16-H23</f>
        <v>764</v>
      </c>
      <c r="I25" s="20" t="n">
        <f aca="false">I16-I23</f>
        <v>780</v>
      </c>
      <c r="J25" s="20" t="n">
        <f aca="false">J16-J23</f>
        <v>798</v>
      </c>
      <c r="K25" s="20" t="n">
        <f aca="false">K16-K23</f>
        <v>814</v>
      </c>
      <c r="L25" s="20" t="n">
        <f aca="false">L16-L23</f>
        <v>831</v>
      </c>
      <c r="M25" s="20" t="n">
        <f aca="false">M16-M23</f>
        <v>852</v>
      </c>
      <c r="N25" s="20" t="n">
        <f aca="false">N16-N23</f>
        <v>860</v>
      </c>
      <c r="O25" s="20" t="n">
        <f aca="false">SUM(C25:N25)</f>
        <v>9344</v>
      </c>
    </row>
    <row r="26" customFormat="false" ht="15" hidden="false" customHeight="false" outlineLevel="0" collapsed="false">
      <c r="B26" s="18" t="s">
        <v>69</v>
      </c>
      <c r="C26" s="22" t="n">
        <f aca="false">IF(C9=0,0,C25/C9)</f>
        <v>0.269961977186312</v>
      </c>
      <c r="D26" s="22" t="n">
        <f aca="false">IF(D9=0,0,D25/D9)</f>
        <v>0.269924812030075</v>
      </c>
      <c r="E26" s="22" t="n">
        <f aca="false">IF(E9=0,0,E25/E9)</f>
        <v>0.269888475836431</v>
      </c>
      <c r="F26" s="22" t="n">
        <f aca="false">IF(F9=0,0,F25/F9)</f>
        <v>0.271192660550459</v>
      </c>
      <c r="G26" s="22" t="n">
        <f aca="false">IF(G9=0,0,G25/G9)</f>
        <v>0.272463768115942</v>
      </c>
      <c r="H26" s="22" t="n">
        <f aca="false">IF(H9=0,0,H25/H9)</f>
        <v>0.273345259391771</v>
      </c>
      <c r="I26" s="22" t="n">
        <f aca="false">IF(I9=0,0,I25/I9)</f>
        <v>0.275132275132275</v>
      </c>
      <c r="J26" s="22" t="n">
        <f aca="false">IF(J9=0,0,J25/J9)</f>
        <v>0.277565217391304</v>
      </c>
      <c r="K26" s="22" t="n">
        <f aca="false">IF(K9=0,0,K25/K9)</f>
        <v>0.279245283018868</v>
      </c>
      <c r="L26" s="22" t="n">
        <f aca="false">IF(L9=0,0,L25/L9)</f>
        <v>0.281218274111675</v>
      </c>
      <c r="M26" s="22" t="n">
        <f aca="false">IF(M9=0,0,M25/M9)</f>
        <v>0.284</v>
      </c>
      <c r="N26" s="22" t="n">
        <f aca="false">IF(N9=0,0,N25/N9)</f>
        <v>0.281967213114754</v>
      </c>
      <c r="O26" s="22" t="n">
        <f aca="false">IF(O9=0,0,O25/O9)</f>
        <v>0.275715550309826</v>
      </c>
    </row>
    <row r="27" customFormat="false" ht="15" hidden="false" customHeight="false" outlineLevel="0" collapsed="false">
      <c r="B27" s="16" t="s">
        <v>70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customFormat="false" ht="15" hidden="false" customHeight="false" outlineLevel="0" collapsed="false">
      <c r="B28" s="18" t="s">
        <v>71</v>
      </c>
      <c r="C28" s="19" t="n">
        <v>85</v>
      </c>
      <c r="D28" s="19" t="n">
        <v>85</v>
      </c>
      <c r="E28" s="19" t="n">
        <v>85</v>
      </c>
      <c r="F28" s="19" t="n">
        <v>85</v>
      </c>
      <c r="G28" s="19" t="n">
        <v>85</v>
      </c>
      <c r="H28" s="19" t="n">
        <v>85</v>
      </c>
      <c r="I28" s="19" t="n">
        <v>90</v>
      </c>
      <c r="J28" s="19" t="n">
        <v>90</v>
      </c>
      <c r="K28" s="19" t="n">
        <v>90</v>
      </c>
      <c r="L28" s="19" t="n">
        <v>90</v>
      </c>
      <c r="M28" s="19" t="n">
        <v>90</v>
      </c>
      <c r="N28" s="19" t="n">
        <v>90</v>
      </c>
      <c r="O28" s="20" t="n">
        <f aca="false">SUM(C28:N28)</f>
        <v>1050</v>
      </c>
    </row>
    <row r="29" customFormat="false" ht="15" hidden="false" customHeight="false" outlineLevel="0" collapsed="false">
      <c r="B29" s="18" t="s">
        <v>72</v>
      </c>
      <c r="C29" s="19" t="n">
        <v>12</v>
      </c>
      <c r="D29" s="19" t="n">
        <v>12</v>
      </c>
      <c r="E29" s="19" t="n">
        <v>12</v>
      </c>
      <c r="F29" s="19" t="n">
        <v>12</v>
      </c>
      <c r="G29" s="19" t="n">
        <v>12</v>
      </c>
      <c r="H29" s="19" t="n">
        <v>12</v>
      </c>
      <c r="I29" s="19" t="n">
        <v>12</v>
      </c>
      <c r="J29" s="19" t="n">
        <v>12</v>
      </c>
      <c r="K29" s="19" t="n">
        <v>12</v>
      </c>
      <c r="L29" s="19" t="n">
        <v>12</v>
      </c>
      <c r="M29" s="19" t="n">
        <v>12</v>
      </c>
      <c r="N29" s="19" t="n">
        <v>12</v>
      </c>
      <c r="O29" s="20" t="n">
        <f aca="false">SUM(C29:N29)</f>
        <v>144</v>
      </c>
    </row>
    <row r="30" customFormat="false" ht="15" hidden="false" customHeight="false" outlineLevel="0" collapsed="false">
      <c r="B30" s="21" t="s">
        <v>73</v>
      </c>
      <c r="C30" s="20" t="n">
        <f aca="false">C25-C28-C29</f>
        <v>613</v>
      </c>
      <c r="D30" s="20" t="n">
        <f aca="false">D25-D28-D29</f>
        <v>621</v>
      </c>
      <c r="E30" s="20" t="n">
        <f aca="false">E25-E28-E29</f>
        <v>629</v>
      </c>
      <c r="F30" s="20" t="n">
        <f aca="false">F25-F28-F29</f>
        <v>642</v>
      </c>
      <c r="G30" s="20" t="n">
        <f aca="false">G25-G28-G29</f>
        <v>655</v>
      </c>
      <c r="H30" s="20" t="n">
        <f aca="false">H25-H28-H29</f>
        <v>667</v>
      </c>
      <c r="I30" s="20" t="n">
        <f aca="false">I25-I28-I29</f>
        <v>678</v>
      </c>
      <c r="J30" s="20" t="n">
        <f aca="false">J25-J28-J29</f>
        <v>696</v>
      </c>
      <c r="K30" s="20" t="n">
        <f aca="false">K25-K28-K29</f>
        <v>712</v>
      </c>
      <c r="L30" s="20" t="n">
        <f aca="false">L25-L28-L29</f>
        <v>729</v>
      </c>
      <c r="M30" s="20" t="n">
        <f aca="false">M25-M28-M29</f>
        <v>750</v>
      </c>
      <c r="N30" s="20" t="n">
        <f aca="false">N25-N28-N29</f>
        <v>758</v>
      </c>
      <c r="O30" s="20" t="n">
        <f aca="false">SUM(C30:N30)</f>
        <v>8150</v>
      </c>
    </row>
    <row r="31" customFormat="false" ht="15" hidden="false" customHeight="false" outlineLevel="0" collapsed="false">
      <c r="B31" s="18" t="s">
        <v>74</v>
      </c>
      <c r="C31" s="23" t="n">
        <f aca="false">MAX(0,C30*0.21)</f>
        <v>128.73</v>
      </c>
      <c r="D31" s="23" t="n">
        <f aca="false">MAX(0,D30*0.21)</f>
        <v>130.41</v>
      </c>
      <c r="E31" s="23" t="n">
        <f aca="false">MAX(0,E30*0.21)</f>
        <v>132.09</v>
      </c>
      <c r="F31" s="23" t="n">
        <f aca="false">MAX(0,F30*0.21)</f>
        <v>134.82</v>
      </c>
      <c r="G31" s="23" t="n">
        <f aca="false">MAX(0,G30*0.21)</f>
        <v>137.55</v>
      </c>
      <c r="H31" s="23" t="n">
        <f aca="false">MAX(0,H30*0.21)</f>
        <v>140.07</v>
      </c>
      <c r="I31" s="23" t="n">
        <f aca="false">MAX(0,I30*0.21)</f>
        <v>142.38</v>
      </c>
      <c r="J31" s="23" t="n">
        <f aca="false">MAX(0,J30*0.21)</f>
        <v>146.16</v>
      </c>
      <c r="K31" s="23" t="n">
        <f aca="false">MAX(0,K30*0.21)</f>
        <v>149.52</v>
      </c>
      <c r="L31" s="23" t="n">
        <f aca="false">MAX(0,L30*0.21)</f>
        <v>153.09</v>
      </c>
      <c r="M31" s="23" t="n">
        <f aca="false">MAX(0,M30*0.21)</f>
        <v>157.5</v>
      </c>
      <c r="N31" s="23" t="n">
        <f aca="false">MAX(0,N30*0.21)</f>
        <v>159.18</v>
      </c>
      <c r="O31" s="23" t="n">
        <f aca="false">SUM(C31:N31)</f>
        <v>1711.5</v>
      </c>
    </row>
    <row r="32" customFormat="false" ht="15" hidden="false" customHeight="false" outlineLevel="0" collapsed="false">
      <c r="B32" s="21" t="s">
        <v>75</v>
      </c>
      <c r="C32" s="20" t="n">
        <f aca="false">C30-C31</f>
        <v>484.27</v>
      </c>
      <c r="D32" s="20" t="n">
        <f aca="false">D30-D31</f>
        <v>490.59</v>
      </c>
      <c r="E32" s="20" t="n">
        <f aca="false">E30-E31</f>
        <v>496.91</v>
      </c>
      <c r="F32" s="20" t="n">
        <f aca="false">F30-F31</f>
        <v>507.18</v>
      </c>
      <c r="G32" s="20" t="n">
        <f aca="false">G30-G31</f>
        <v>517.45</v>
      </c>
      <c r="H32" s="20" t="n">
        <f aca="false">H30-H31</f>
        <v>526.93</v>
      </c>
      <c r="I32" s="20" t="n">
        <f aca="false">I30-I31</f>
        <v>535.62</v>
      </c>
      <c r="J32" s="20" t="n">
        <f aca="false">J30-J31</f>
        <v>549.84</v>
      </c>
      <c r="K32" s="20" t="n">
        <f aca="false">K30-K31</f>
        <v>562.48</v>
      </c>
      <c r="L32" s="20" t="n">
        <f aca="false">L30-L31</f>
        <v>575.91</v>
      </c>
      <c r="M32" s="20" t="n">
        <f aca="false">M30-M31</f>
        <v>592.5</v>
      </c>
      <c r="N32" s="20" t="n">
        <f aca="false">N30-N31</f>
        <v>598.82</v>
      </c>
      <c r="O32" s="20" t="n">
        <f aca="false">SUM(C32:N32)</f>
        <v>6438.5</v>
      </c>
    </row>
    <row r="34" customFormat="false" ht="15" hidden="false" customHeight="false" outlineLevel="0" collapsed="false">
      <c r="B34" s="24" t="s">
        <v>76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customFormat="false" ht="15" hidden="false" customHeight="false" outlineLevel="0" collapsed="false">
      <c r="B35" s="13" t="s">
        <v>35</v>
      </c>
      <c r="C35" s="13" t="s">
        <v>36</v>
      </c>
      <c r="D35" s="13" t="s">
        <v>37</v>
      </c>
      <c r="E35" s="13" t="s">
        <v>38</v>
      </c>
      <c r="F35" s="13" t="s">
        <v>39</v>
      </c>
      <c r="G35" s="13" t="s">
        <v>40</v>
      </c>
      <c r="H35" s="13" t="s">
        <v>41</v>
      </c>
      <c r="I35" s="13" t="s">
        <v>42</v>
      </c>
      <c r="J35" s="13" t="s">
        <v>43</v>
      </c>
      <c r="K35" s="13" t="s">
        <v>44</v>
      </c>
      <c r="L35" s="13" t="s">
        <v>45</v>
      </c>
      <c r="M35" s="13" t="s">
        <v>46</v>
      </c>
      <c r="N35" s="13" t="s">
        <v>47</v>
      </c>
      <c r="O35" s="13" t="s">
        <v>48</v>
      </c>
    </row>
    <row r="36" customFormat="false" ht="15" hidden="false" customHeight="false" outlineLevel="0" collapsed="false">
      <c r="B36" s="16" t="s">
        <v>50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 customFormat="false" ht="15" hidden="false" customHeight="false" outlineLevel="0" collapsed="false">
      <c r="B37" s="18" t="s">
        <v>51</v>
      </c>
      <c r="C37" s="26" t="n">
        <v>2480</v>
      </c>
      <c r="D37" s="26" t="n">
        <v>2460</v>
      </c>
      <c r="E37" s="26" t="n">
        <v>2545</v>
      </c>
      <c r="F37" s="26" t="n">
        <v>2550</v>
      </c>
      <c r="G37" s="26" t="n">
        <v>2550</v>
      </c>
      <c r="H37" s="26" t="n">
        <v>2645</v>
      </c>
      <c r="I37" s="26" t="n">
        <v>2660</v>
      </c>
      <c r="J37" s="26" t="n">
        <v>2640</v>
      </c>
      <c r="K37" s="26" t="n">
        <v>2755</v>
      </c>
      <c r="L37" s="26" t="n">
        <v>2770</v>
      </c>
      <c r="M37" s="26" t="n">
        <v>2795</v>
      </c>
      <c r="N37" s="26" t="n">
        <v>2880</v>
      </c>
      <c r="O37" s="20" t="n">
        <f aca="false">SUM(C37:N37)</f>
        <v>31730</v>
      </c>
    </row>
    <row r="38" customFormat="false" ht="15" hidden="false" customHeight="false" outlineLevel="0" collapsed="false">
      <c r="B38" s="18" t="s">
        <v>52</v>
      </c>
      <c r="C38" s="26" t="n">
        <v>190</v>
      </c>
      <c r="D38" s="26" t="n">
        <v>180</v>
      </c>
      <c r="E38" s="26" t="n">
        <v>205</v>
      </c>
      <c r="F38" s="26" t="n">
        <v>187</v>
      </c>
      <c r="G38" s="26" t="n">
        <v>212</v>
      </c>
      <c r="H38" s="26" t="n">
        <v>213</v>
      </c>
      <c r="I38" s="26" t="n">
        <v>207</v>
      </c>
      <c r="J38" s="26" t="n">
        <v>233</v>
      </c>
      <c r="K38" s="26" t="n">
        <v>215</v>
      </c>
      <c r="L38" s="26" t="n">
        <v>239</v>
      </c>
      <c r="M38" s="26" t="n">
        <v>250</v>
      </c>
      <c r="N38" s="26" t="n">
        <v>250</v>
      </c>
      <c r="O38" s="20" t="n">
        <f aca="false">SUM(C38:N38)</f>
        <v>2581</v>
      </c>
    </row>
    <row r="39" customFormat="false" ht="15" hidden="false" customHeight="false" outlineLevel="0" collapsed="false">
      <c r="B39" s="21" t="s">
        <v>53</v>
      </c>
      <c r="C39" s="20" t="n">
        <f aca="false">C37+C38</f>
        <v>2670</v>
      </c>
      <c r="D39" s="20" t="n">
        <f aca="false">D37+D38</f>
        <v>2640</v>
      </c>
      <c r="E39" s="20" t="n">
        <f aca="false">E37+E38</f>
        <v>2750</v>
      </c>
      <c r="F39" s="20" t="n">
        <f aca="false">F37+F38</f>
        <v>2737</v>
      </c>
      <c r="G39" s="20" t="n">
        <f aca="false">G37+G38</f>
        <v>2762</v>
      </c>
      <c r="H39" s="20" t="n">
        <f aca="false">H37+H38</f>
        <v>2858</v>
      </c>
      <c r="I39" s="20" t="n">
        <f aca="false">I37+I38</f>
        <v>2867</v>
      </c>
      <c r="J39" s="20" t="n">
        <f aca="false">J37+J38</f>
        <v>2873</v>
      </c>
      <c r="K39" s="20" t="n">
        <f aca="false">K37+K38</f>
        <v>2970</v>
      </c>
      <c r="L39" s="20" t="n">
        <f aca="false">L37+L38</f>
        <v>3009</v>
      </c>
      <c r="M39" s="20" t="n">
        <f aca="false">M37+M38</f>
        <v>3045</v>
      </c>
      <c r="N39" s="20" t="n">
        <f aca="false">N37+N38</f>
        <v>3130</v>
      </c>
      <c r="O39" s="20" t="n">
        <f aca="false">SUM(C39:N39)</f>
        <v>34311</v>
      </c>
    </row>
    <row r="40" customFormat="false" ht="15" hidden="false" customHeight="false" outlineLevel="0" collapsed="false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</row>
    <row r="41" customFormat="false" ht="15" hidden="false" customHeight="false" outlineLevel="0" collapsed="false">
      <c r="B41" s="16" t="s">
        <v>54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</row>
    <row r="42" customFormat="false" ht="15" hidden="false" customHeight="false" outlineLevel="0" collapsed="false">
      <c r="B42" s="18" t="s">
        <v>55</v>
      </c>
      <c r="C42" s="26" t="n">
        <v>250</v>
      </c>
      <c r="D42" s="26" t="n">
        <v>245</v>
      </c>
      <c r="E42" s="26" t="n">
        <v>258</v>
      </c>
      <c r="F42" s="26" t="n">
        <v>255</v>
      </c>
      <c r="G42" s="26" t="n">
        <v>252</v>
      </c>
      <c r="H42" s="26" t="n">
        <v>269</v>
      </c>
      <c r="I42" s="26" t="n">
        <v>269</v>
      </c>
      <c r="J42" s="26" t="n">
        <v>264</v>
      </c>
      <c r="K42" s="26" t="n">
        <v>282</v>
      </c>
      <c r="L42" s="26" t="n">
        <v>277</v>
      </c>
      <c r="M42" s="26" t="n">
        <v>285</v>
      </c>
      <c r="N42" s="26" t="n">
        <v>296</v>
      </c>
      <c r="O42" s="20" t="n">
        <f aca="false">SUM(C42:N42)</f>
        <v>3202</v>
      </c>
    </row>
    <row r="43" customFormat="false" ht="15" hidden="false" customHeight="false" outlineLevel="0" collapsed="false">
      <c r="B43" s="18" t="s">
        <v>56</v>
      </c>
      <c r="C43" s="26" t="n">
        <v>190</v>
      </c>
      <c r="D43" s="26" t="n">
        <v>200</v>
      </c>
      <c r="E43" s="26" t="n">
        <v>202</v>
      </c>
      <c r="F43" s="26" t="n">
        <v>198</v>
      </c>
      <c r="G43" s="26" t="n">
        <v>210</v>
      </c>
      <c r="H43" s="26" t="n">
        <v>204</v>
      </c>
      <c r="I43" s="26" t="n">
        <v>218</v>
      </c>
      <c r="J43" s="26" t="n">
        <v>214</v>
      </c>
      <c r="K43" s="26" t="n">
        <v>209</v>
      </c>
      <c r="L43" s="26" t="n">
        <v>223</v>
      </c>
      <c r="M43" s="26" t="n">
        <v>224</v>
      </c>
      <c r="N43" s="26" t="n">
        <v>231</v>
      </c>
      <c r="O43" s="20" t="n">
        <f aca="false">SUM(C43:N43)</f>
        <v>2523</v>
      </c>
    </row>
    <row r="44" customFormat="false" ht="15" hidden="false" customHeight="false" outlineLevel="0" collapsed="false">
      <c r="B44" s="21" t="s">
        <v>57</v>
      </c>
      <c r="C44" s="20" t="n">
        <f aca="false">C42+C43</f>
        <v>440</v>
      </c>
      <c r="D44" s="20" t="n">
        <f aca="false">D42+D43</f>
        <v>445</v>
      </c>
      <c r="E44" s="20" t="n">
        <f aca="false">E42+E43</f>
        <v>460</v>
      </c>
      <c r="F44" s="20" t="n">
        <f aca="false">F42+F43</f>
        <v>453</v>
      </c>
      <c r="G44" s="20" t="n">
        <f aca="false">G42+G43</f>
        <v>462</v>
      </c>
      <c r="H44" s="20" t="n">
        <f aca="false">H42+H43</f>
        <v>473</v>
      </c>
      <c r="I44" s="20" t="n">
        <f aca="false">I42+I43</f>
        <v>487</v>
      </c>
      <c r="J44" s="20" t="n">
        <f aca="false">J42+J43</f>
        <v>478</v>
      </c>
      <c r="K44" s="20" t="n">
        <f aca="false">K42+K43</f>
        <v>491</v>
      </c>
      <c r="L44" s="20" t="n">
        <f aca="false">L42+L43</f>
        <v>500</v>
      </c>
      <c r="M44" s="20" t="n">
        <f aca="false">M42+M43</f>
        <v>509</v>
      </c>
      <c r="N44" s="20" t="n">
        <f aca="false">N42+N43</f>
        <v>527</v>
      </c>
      <c r="O44" s="20" t="n">
        <f aca="false">SUM(C44:N44)</f>
        <v>5725</v>
      </c>
    </row>
    <row r="45" customFormat="false" ht="15" hidden="false" customHeight="false" outlineLevel="0" collapsed="false">
      <c r="B45" s="16" t="s">
        <v>58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  <row r="46" customFormat="false" ht="15" hidden="false" customHeight="false" outlineLevel="0" collapsed="false">
      <c r="B46" s="21" t="s">
        <v>59</v>
      </c>
      <c r="C46" s="20" t="n">
        <f aca="false">C39-C44</f>
        <v>2230</v>
      </c>
      <c r="D46" s="20" t="n">
        <f aca="false">D39-D44</f>
        <v>2195</v>
      </c>
      <c r="E46" s="20" t="n">
        <f aca="false">E39-E44</f>
        <v>2290</v>
      </c>
      <c r="F46" s="20" t="n">
        <f aca="false">F39-F44</f>
        <v>2284</v>
      </c>
      <c r="G46" s="20" t="n">
        <f aca="false">G39-G44</f>
        <v>2300</v>
      </c>
      <c r="H46" s="20" t="n">
        <f aca="false">H39-H44</f>
        <v>2385</v>
      </c>
      <c r="I46" s="20" t="n">
        <f aca="false">I39-I44</f>
        <v>2380</v>
      </c>
      <c r="J46" s="20" t="n">
        <f aca="false">J39-J44</f>
        <v>2395</v>
      </c>
      <c r="K46" s="20" t="n">
        <f aca="false">K39-K44</f>
        <v>2479</v>
      </c>
      <c r="L46" s="20" t="n">
        <f aca="false">L39-L44</f>
        <v>2509</v>
      </c>
      <c r="M46" s="20" t="n">
        <f aca="false">M39-M44</f>
        <v>2536</v>
      </c>
      <c r="N46" s="20" t="n">
        <f aca="false">N39-N44</f>
        <v>2603</v>
      </c>
      <c r="O46" s="20" t="n">
        <f aca="false">SUM(C46:N46)</f>
        <v>28586</v>
      </c>
    </row>
    <row r="47" customFormat="false" ht="15" hidden="false" customHeight="false" outlineLevel="0" collapsed="false">
      <c r="B47" s="27" t="s">
        <v>60</v>
      </c>
      <c r="C47" s="22" t="n">
        <f aca="false">IF(C39=0,0,C46/C39)</f>
        <v>0.835205992509363</v>
      </c>
      <c r="D47" s="22" t="n">
        <f aca="false">IF(D39=0,0,D46/D39)</f>
        <v>0.831439393939394</v>
      </c>
      <c r="E47" s="22" t="n">
        <f aca="false">IF(E39=0,0,E46/E39)</f>
        <v>0.832727272727273</v>
      </c>
      <c r="F47" s="22" t="n">
        <f aca="false">IF(F39=0,0,F46/F39)</f>
        <v>0.834490317866277</v>
      </c>
      <c r="G47" s="22" t="n">
        <f aca="false">IF(G39=0,0,G46/G39)</f>
        <v>0.832729905865315</v>
      </c>
      <c r="H47" s="22" t="n">
        <f aca="false">IF(H39=0,0,H46/H39)</f>
        <v>0.834499650104969</v>
      </c>
      <c r="I47" s="22" t="n">
        <f aca="false">IF(I39=0,0,I46/I39)</f>
        <v>0.830136030694105</v>
      </c>
      <c r="J47" s="22" t="n">
        <f aca="false">IF(J39=0,0,J46/J39)</f>
        <v>0.833623390184476</v>
      </c>
      <c r="K47" s="22" t="n">
        <f aca="false">IF(K39=0,0,K46/K39)</f>
        <v>0.834680134680135</v>
      </c>
      <c r="L47" s="22" t="n">
        <f aca="false">IF(L39=0,0,L46/L39)</f>
        <v>0.833831837819874</v>
      </c>
      <c r="M47" s="22" t="n">
        <f aca="false">IF(M39=0,0,M46/M39)</f>
        <v>0.832840722495895</v>
      </c>
      <c r="N47" s="22" t="n">
        <f aca="false">IF(N39=0,0,N46/N39)</f>
        <v>0.831629392971246</v>
      </c>
      <c r="O47" s="22" t="n">
        <f aca="false">IF(O39=0,0,O46/O39)</f>
        <v>0.833143889714669</v>
      </c>
    </row>
    <row r="48" customFormat="false" ht="15" hidden="false" customHeight="false" outlineLevel="0" collapsed="false">
      <c r="B48" s="16" t="s">
        <v>61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</row>
    <row r="49" customFormat="false" ht="15" hidden="false" customHeight="false" outlineLevel="0" collapsed="false">
      <c r="B49" s="16" t="s">
        <v>62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</row>
    <row r="50" customFormat="false" ht="15" hidden="false" customHeight="false" outlineLevel="0" collapsed="false">
      <c r="B50" s="18" t="s">
        <v>63</v>
      </c>
      <c r="C50" s="26" t="n">
        <v>535</v>
      </c>
      <c r="D50" s="26" t="n">
        <v>520</v>
      </c>
      <c r="E50" s="26" t="n">
        <v>560</v>
      </c>
      <c r="F50" s="26" t="n">
        <v>558</v>
      </c>
      <c r="G50" s="26" t="n">
        <v>545</v>
      </c>
      <c r="H50" s="26" t="n">
        <v>595</v>
      </c>
      <c r="I50" s="26" t="n">
        <v>592</v>
      </c>
      <c r="J50" s="26" t="n">
        <v>582</v>
      </c>
      <c r="K50" s="26" t="n">
        <v>618</v>
      </c>
      <c r="L50" s="26" t="n">
        <v>620</v>
      </c>
      <c r="M50" s="26" t="n">
        <v>615</v>
      </c>
      <c r="N50" s="26" t="n">
        <v>670</v>
      </c>
      <c r="O50" s="20" t="n">
        <f aca="false">SUM(C50:N50)</f>
        <v>7010</v>
      </c>
    </row>
    <row r="51" customFormat="false" ht="15" hidden="false" customHeight="false" outlineLevel="0" collapsed="false">
      <c r="B51" s="18" t="s">
        <v>64</v>
      </c>
      <c r="C51" s="26" t="n">
        <v>670</v>
      </c>
      <c r="D51" s="26" t="n">
        <v>690</v>
      </c>
      <c r="E51" s="26" t="n">
        <v>685</v>
      </c>
      <c r="F51" s="26" t="n">
        <v>707</v>
      </c>
      <c r="G51" s="26" t="n">
        <v>692</v>
      </c>
      <c r="H51" s="26" t="n">
        <v>715</v>
      </c>
      <c r="I51" s="26" t="n">
        <v>715</v>
      </c>
      <c r="J51" s="26" t="n">
        <v>703</v>
      </c>
      <c r="K51" s="26" t="n">
        <v>728</v>
      </c>
      <c r="L51" s="26" t="n">
        <v>720</v>
      </c>
      <c r="M51" s="26" t="n">
        <v>740</v>
      </c>
      <c r="N51" s="26" t="n">
        <v>755</v>
      </c>
      <c r="O51" s="20" t="n">
        <f aca="false">SUM(C51:N51)</f>
        <v>8520</v>
      </c>
    </row>
    <row r="52" customFormat="false" ht="15" hidden="false" customHeight="false" outlineLevel="0" collapsed="false">
      <c r="B52" s="18" t="s">
        <v>65</v>
      </c>
      <c r="C52" s="26" t="n">
        <v>283</v>
      </c>
      <c r="D52" s="26" t="n">
        <v>280</v>
      </c>
      <c r="E52" s="26" t="n">
        <v>289</v>
      </c>
      <c r="F52" s="26" t="n">
        <v>283</v>
      </c>
      <c r="G52" s="26" t="n">
        <v>292</v>
      </c>
      <c r="H52" s="26" t="n">
        <v>292</v>
      </c>
      <c r="I52" s="26" t="n">
        <v>288</v>
      </c>
      <c r="J52" s="26" t="n">
        <v>300</v>
      </c>
      <c r="K52" s="26" t="n">
        <v>294</v>
      </c>
      <c r="L52" s="26" t="n">
        <v>301</v>
      </c>
      <c r="M52" s="26" t="n">
        <v>305</v>
      </c>
      <c r="N52" s="26" t="n">
        <v>313</v>
      </c>
      <c r="O52" s="20" t="n">
        <f aca="false">SUM(C52:N52)</f>
        <v>3520</v>
      </c>
    </row>
    <row r="53" customFormat="false" ht="15" hidden="false" customHeight="false" outlineLevel="0" collapsed="false">
      <c r="B53" s="21" t="s">
        <v>66</v>
      </c>
      <c r="C53" s="20" t="n">
        <f aca="false">C50+C51+C52</f>
        <v>1488</v>
      </c>
      <c r="D53" s="20" t="n">
        <f aca="false">D50+D51+D52</f>
        <v>1490</v>
      </c>
      <c r="E53" s="20" t="n">
        <f aca="false">E50+E51+E52</f>
        <v>1534</v>
      </c>
      <c r="F53" s="20" t="n">
        <f aca="false">F50+F51+F52</f>
        <v>1548</v>
      </c>
      <c r="G53" s="20" t="n">
        <f aca="false">G50+G51+G52</f>
        <v>1529</v>
      </c>
      <c r="H53" s="20" t="n">
        <f aca="false">H50+H51+H52</f>
        <v>1602</v>
      </c>
      <c r="I53" s="20" t="n">
        <f aca="false">I50+I51+I52</f>
        <v>1595</v>
      </c>
      <c r="J53" s="20" t="n">
        <f aca="false">J50+J51+J52</f>
        <v>1585</v>
      </c>
      <c r="K53" s="20" t="n">
        <f aca="false">K50+K51+K52</f>
        <v>1640</v>
      </c>
      <c r="L53" s="20" t="n">
        <f aca="false">L50+L51+L52</f>
        <v>1641</v>
      </c>
      <c r="M53" s="20" t="n">
        <f aca="false">M50+M51+M52</f>
        <v>1660</v>
      </c>
      <c r="N53" s="20" t="n">
        <f aca="false">N50+N51+N52</f>
        <v>1738</v>
      </c>
      <c r="O53" s="20" t="n">
        <f aca="false">SUM(C53:N53)</f>
        <v>19050</v>
      </c>
    </row>
    <row r="54" customFormat="false" ht="15" hidden="false" customHeight="false" outlineLevel="0" collapsed="false">
      <c r="B54" s="16" t="s">
        <v>67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customFormat="false" ht="15" hidden="false" customHeight="false" outlineLevel="0" collapsed="false">
      <c r="B55" s="21" t="s">
        <v>68</v>
      </c>
      <c r="C55" s="20" t="n">
        <f aca="false">C46-C53</f>
        <v>742</v>
      </c>
      <c r="D55" s="20" t="n">
        <f aca="false">D46-D53</f>
        <v>705</v>
      </c>
      <c r="E55" s="20" t="n">
        <f aca="false">E46-E53</f>
        <v>756</v>
      </c>
      <c r="F55" s="20" t="n">
        <f aca="false">F46-F53</f>
        <v>736</v>
      </c>
      <c r="G55" s="20" t="n">
        <f aca="false">G46-G53</f>
        <v>771</v>
      </c>
      <c r="H55" s="20" t="n">
        <f aca="false">H46-H53</f>
        <v>783</v>
      </c>
      <c r="I55" s="20" t="n">
        <f aca="false">I46-I53</f>
        <v>785</v>
      </c>
      <c r="J55" s="20" t="n">
        <f aca="false">J46-J53</f>
        <v>810</v>
      </c>
      <c r="K55" s="20" t="n">
        <f aca="false">K46-K53</f>
        <v>839</v>
      </c>
      <c r="L55" s="20" t="n">
        <f aca="false">L46-L53</f>
        <v>868</v>
      </c>
      <c r="M55" s="20" t="n">
        <f aca="false">M46-M53</f>
        <v>876</v>
      </c>
      <c r="N55" s="20" t="n">
        <f aca="false">N46-N53</f>
        <v>865</v>
      </c>
      <c r="O55" s="20" t="n">
        <f aca="false">SUM(C55:N55)</f>
        <v>9536</v>
      </c>
    </row>
    <row r="56" customFormat="false" ht="15" hidden="false" customHeight="false" outlineLevel="0" collapsed="false">
      <c r="B56" s="27" t="s">
        <v>69</v>
      </c>
      <c r="C56" s="22" t="n">
        <f aca="false">IF(C39=0,0,C55/C39)</f>
        <v>0.277902621722846</v>
      </c>
      <c r="D56" s="22" t="n">
        <f aca="false">IF(D39=0,0,D55/D39)</f>
        <v>0.267045454545455</v>
      </c>
      <c r="E56" s="22" t="n">
        <f aca="false">IF(E39=0,0,E55/E39)</f>
        <v>0.274909090909091</v>
      </c>
      <c r="F56" s="22" t="n">
        <f aca="false">IF(F39=0,0,F55/F39)</f>
        <v>0.26890756302521</v>
      </c>
      <c r="G56" s="22" t="n">
        <f aca="false">IF(G39=0,0,G55/G39)</f>
        <v>0.279145546705286</v>
      </c>
      <c r="H56" s="22" t="n">
        <f aca="false">IF(H39=0,0,H55/H39)</f>
        <v>0.273967809657103</v>
      </c>
      <c r="I56" s="22" t="n">
        <f aca="false">IF(I39=0,0,I55/I39)</f>
        <v>0.273805371468434</v>
      </c>
      <c r="J56" s="22" t="n">
        <f aca="false">IF(J39=0,0,J55/J39)</f>
        <v>0.281935259310825</v>
      </c>
      <c r="K56" s="22" t="n">
        <f aca="false">IF(K39=0,0,K55/K39)</f>
        <v>0.282491582491583</v>
      </c>
      <c r="L56" s="22" t="n">
        <f aca="false">IF(L39=0,0,L55/L39)</f>
        <v>0.288467929544699</v>
      </c>
      <c r="M56" s="22" t="n">
        <f aca="false">IF(M39=0,0,M55/M39)</f>
        <v>0.287684729064039</v>
      </c>
      <c r="N56" s="22" t="n">
        <f aca="false">IF(N39=0,0,N55/N39)</f>
        <v>0.276357827476038</v>
      </c>
      <c r="O56" s="22" t="n">
        <f aca="false">IF(O39=0,0,O55/O39)</f>
        <v>0.277928361166973</v>
      </c>
    </row>
    <row r="57" customFormat="false" ht="15" hidden="false" customHeight="false" outlineLevel="0" collapsed="false">
      <c r="B57" s="16" t="s">
        <v>70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</row>
    <row r="58" customFormat="false" ht="15" hidden="false" customHeight="false" outlineLevel="0" collapsed="false">
      <c r="B58" s="18" t="s">
        <v>71</v>
      </c>
      <c r="C58" s="26" t="n">
        <v>85</v>
      </c>
      <c r="D58" s="26" t="n">
        <v>85</v>
      </c>
      <c r="E58" s="26" t="n">
        <v>85</v>
      </c>
      <c r="F58" s="26" t="n">
        <v>85</v>
      </c>
      <c r="G58" s="26" t="n">
        <v>85</v>
      </c>
      <c r="H58" s="26" t="n">
        <v>85</v>
      </c>
      <c r="I58" s="26" t="n">
        <v>92</v>
      </c>
      <c r="J58" s="26" t="n">
        <v>92</v>
      </c>
      <c r="K58" s="26" t="n">
        <v>92</v>
      </c>
      <c r="L58" s="26" t="n">
        <v>92</v>
      </c>
      <c r="M58" s="26" t="n">
        <v>92</v>
      </c>
      <c r="N58" s="26" t="n">
        <v>92</v>
      </c>
      <c r="O58" s="20" t="n">
        <f aca="false">SUM(C58:N58)</f>
        <v>1062</v>
      </c>
    </row>
    <row r="59" customFormat="false" ht="15" hidden="false" customHeight="false" outlineLevel="0" collapsed="false">
      <c r="B59" s="18" t="s">
        <v>72</v>
      </c>
      <c r="C59" s="26" t="n">
        <v>12</v>
      </c>
      <c r="D59" s="26" t="n">
        <v>12</v>
      </c>
      <c r="E59" s="26" t="n">
        <v>12</v>
      </c>
      <c r="F59" s="26" t="n">
        <v>12</v>
      </c>
      <c r="G59" s="26" t="n">
        <v>12</v>
      </c>
      <c r="H59" s="26" t="n">
        <v>11</v>
      </c>
      <c r="I59" s="26" t="n">
        <v>12</v>
      </c>
      <c r="J59" s="26" t="n">
        <v>12</v>
      </c>
      <c r="K59" s="26" t="n">
        <v>12</v>
      </c>
      <c r="L59" s="26" t="n">
        <v>12</v>
      </c>
      <c r="M59" s="26" t="n">
        <v>11</v>
      </c>
      <c r="N59" s="26" t="n">
        <v>12</v>
      </c>
      <c r="O59" s="20" t="n">
        <f aca="false">SUM(C59:N59)</f>
        <v>142</v>
      </c>
    </row>
    <row r="60" customFormat="false" ht="15" hidden="false" customHeight="false" outlineLevel="0" collapsed="false">
      <c r="B60" s="21" t="s">
        <v>73</v>
      </c>
      <c r="C60" s="20" t="n">
        <f aca="false">C55-C58-C59</f>
        <v>645</v>
      </c>
      <c r="D60" s="20" t="n">
        <f aca="false">D55-D58-D59</f>
        <v>608</v>
      </c>
      <c r="E60" s="20" t="n">
        <f aca="false">E55-E58-E59</f>
        <v>659</v>
      </c>
      <c r="F60" s="20" t="n">
        <f aca="false">F55-F58-F59</f>
        <v>639</v>
      </c>
      <c r="G60" s="20" t="n">
        <f aca="false">G55-G58-G59</f>
        <v>674</v>
      </c>
      <c r="H60" s="20" t="n">
        <f aca="false">H55-H58-H59</f>
        <v>687</v>
      </c>
      <c r="I60" s="20" t="n">
        <f aca="false">I55-I58-I59</f>
        <v>681</v>
      </c>
      <c r="J60" s="20" t="n">
        <f aca="false">J55-J58-J59</f>
        <v>706</v>
      </c>
      <c r="K60" s="20" t="n">
        <f aca="false">K55-K58-K59</f>
        <v>735</v>
      </c>
      <c r="L60" s="20" t="n">
        <f aca="false">L55-L58-L59</f>
        <v>764</v>
      </c>
      <c r="M60" s="20" t="n">
        <f aca="false">M55-M58-M59</f>
        <v>773</v>
      </c>
      <c r="N60" s="20" t="n">
        <f aca="false">N55-N58-N59</f>
        <v>761</v>
      </c>
      <c r="O60" s="20" t="n">
        <f aca="false">SUM(C60:N60)</f>
        <v>8332</v>
      </c>
    </row>
    <row r="61" customFormat="false" ht="15" hidden="false" customHeight="false" outlineLevel="0" collapsed="false">
      <c r="B61" s="27" t="s">
        <v>74</v>
      </c>
      <c r="C61" s="23" t="n">
        <f aca="false">MAX(0,C60*0.21)</f>
        <v>135.45</v>
      </c>
      <c r="D61" s="23" t="n">
        <f aca="false">MAX(0,D60*0.21)</f>
        <v>127.68</v>
      </c>
      <c r="E61" s="23" t="n">
        <f aca="false">MAX(0,E60*0.21)</f>
        <v>138.39</v>
      </c>
      <c r="F61" s="23" t="n">
        <f aca="false">MAX(0,F60*0.21)</f>
        <v>134.19</v>
      </c>
      <c r="G61" s="23" t="n">
        <f aca="false">MAX(0,G60*0.21)</f>
        <v>141.54</v>
      </c>
      <c r="H61" s="23" t="n">
        <f aca="false">MAX(0,H60*0.21)</f>
        <v>144.27</v>
      </c>
      <c r="I61" s="23" t="n">
        <f aca="false">MAX(0,I60*0.21)</f>
        <v>143.01</v>
      </c>
      <c r="J61" s="23" t="n">
        <f aca="false">MAX(0,J60*0.21)</f>
        <v>148.26</v>
      </c>
      <c r="K61" s="23" t="n">
        <f aca="false">MAX(0,K60*0.21)</f>
        <v>154.35</v>
      </c>
      <c r="L61" s="23" t="n">
        <f aca="false">MAX(0,L60*0.21)</f>
        <v>160.44</v>
      </c>
      <c r="M61" s="23" t="n">
        <f aca="false">MAX(0,M60*0.21)</f>
        <v>162.33</v>
      </c>
      <c r="N61" s="23" t="n">
        <f aca="false">MAX(0,N60*0.21)</f>
        <v>159.81</v>
      </c>
      <c r="O61" s="23" t="n">
        <f aca="false">SUM(C61:N61)</f>
        <v>1749.72</v>
      </c>
    </row>
    <row r="62" customFormat="false" ht="15" hidden="false" customHeight="false" outlineLevel="0" collapsed="false">
      <c r="B62" s="21" t="s">
        <v>75</v>
      </c>
      <c r="C62" s="20" t="n">
        <f aca="false">C60-C61</f>
        <v>509.55</v>
      </c>
      <c r="D62" s="20" t="n">
        <f aca="false">D60-D61</f>
        <v>480.32</v>
      </c>
      <c r="E62" s="20" t="n">
        <f aca="false">E60-E61</f>
        <v>520.61</v>
      </c>
      <c r="F62" s="20" t="n">
        <f aca="false">F60-F61</f>
        <v>504.81</v>
      </c>
      <c r="G62" s="20" t="n">
        <f aca="false">G60-G61</f>
        <v>532.46</v>
      </c>
      <c r="H62" s="20" t="n">
        <f aca="false">H60-H61</f>
        <v>542.73</v>
      </c>
      <c r="I62" s="20" t="n">
        <f aca="false">I60-I61</f>
        <v>537.99</v>
      </c>
      <c r="J62" s="20" t="n">
        <f aca="false">J60-J61</f>
        <v>557.74</v>
      </c>
      <c r="K62" s="20" t="n">
        <f aca="false">K60-K61</f>
        <v>580.65</v>
      </c>
      <c r="L62" s="20" t="n">
        <f aca="false">L60-L61</f>
        <v>603.56</v>
      </c>
      <c r="M62" s="20" t="n">
        <f aca="false">M60-M61</f>
        <v>610.67</v>
      </c>
      <c r="N62" s="20" t="n">
        <f aca="false">N60-N61</f>
        <v>601.19</v>
      </c>
      <c r="O62" s="20" t="n">
        <f aca="false">SUM(C62:N62)</f>
        <v>6582.28</v>
      </c>
    </row>
  </sheetData>
  <mergeCells count="2">
    <mergeCell ref="B1:N1"/>
    <mergeCell ref="B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B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6" min="3" style="0" width="14"/>
    <col collapsed="false" customWidth="true" hidden="false" outlineLevel="0" max="7" min="7" style="0" width="4"/>
    <col collapsed="false" customWidth="true" hidden="false" outlineLevel="0" max="11" min="8" style="0" width="14"/>
  </cols>
  <sheetData>
    <row r="1" customFormat="false" ht="19.7" hidden="false" customHeight="false" outlineLevel="0" collapsed="false">
      <c r="B1" s="1" t="s">
        <v>77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B2" s="2" t="s">
        <v>78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B4" s="13" t="s">
        <v>35</v>
      </c>
      <c r="C4" s="13" t="s">
        <v>79</v>
      </c>
      <c r="D4" s="13" t="s">
        <v>80</v>
      </c>
      <c r="E4" s="13" t="s">
        <v>81</v>
      </c>
      <c r="F4" s="13" t="s">
        <v>82</v>
      </c>
      <c r="G4" s="13"/>
      <c r="H4" s="13" t="s">
        <v>83</v>
      </c>
      <c r="I4" s="13" t="s">
        <v>84</v>
      </c>
      <c r="J4" s="13" t="s">
        <v>85</v>
      </c>
      <c r="K4" s="13" t="s">
        <v>86</v>
      </c>
    </row>
    <row r="5" customFormat="false" ht="15" hidden="false" customHeight="false" outlineLevel="0" collapsed="false">
      <c r="B5" s="28" t="s">
        <v>51</v>
      </c>
      <c r="C5" s="29" t="n">
        <f aca="false">Actuals!O7</f>
        <v>31395</v>
      </c>
      <c r="D5" s="29" t="n">
        <f aca="false">Actuals!O37</f>
        <v>31730</v>
      </c>
      <c r="E5" s="23" t="n">
        <f aca="false">D5-C5</f>
        <v>335</v>
      </c>
      <c r="F5" s="22" t="n">
        <f aca="false">IF(C5=0,0,E5/ABS(C5))</f>
        <v>0.0106704889313585</v>
      </c>
      <c r="H5" s="28" t="str">
        <f aca="false">IF(E5&gt;0,"✓ Favourable",IF(E5&lt;0,"✗ Unfavourable","On Budget"))</f>
        <v>✓ Favourable</v>
      </c>
      <c r="I5" s="29" t="n">
        <f aca="false">SUM(Actuals!C7:E7)</f>
        <v>7425</v>
      </c>
      <c r="J5" s="29" t="n">
        <f aca="false">SUM(Actuals!C37:E37)</f>
        <v>7485</v>
      </c>
      <c r="K5" s="23" t="n">
        <f aca="false">J5-I5</f>
        <v>60</v>
      </c>
    </row>
    <row r="6" customFormat="false" ht="15" hidden="false" customHeight="false" outlineLevel="0" collapsed="false">
      <c r="B6" s="28" t="s">
        <v>52</v>
      </c>
      <c r="C6" s="29" t="n">
        <f aca="false">Actuals!O8</f>
        <v>2495</v>
      </c>
      <c r="D6" s="29" t="n">
        <f aca="false">Actuals!O38</f>
        <v>2581</v>
      </c>
      <c r="E6" s="23" t="n">
        <f aca="false">D6-C6</f>
        <v>86</v>
      </c>
      <c r="F6" s="22" t="n">
        <f aca="false">IF(C6=0,0,E6/ABS(C6))</f>
        <v>0.0344689378757515</v>
      </c>
      <c r="H6" s="28" t="str">
        <f aca="false">IF(E6&gt;0,"✓ Favourable",IF(E6&lt;0,"✗ Unfavourable","On Budget"))</f>
        <v>✓ Favourable</v>
      </c>
      <c r="I6" s="29" t="n">
        <f aca="false">SUM(Actuals!C8:E8)</f>
        <v>555</v>
      </c>
      <c r="J6" s="29" t="n">
        <f aca="false">SUM(Actuals!C38:E38)</f>
        <v>575</v>
      </c>
      <c r="K6" s="23" t="n">
        <f aca="false">J6-I6</f>
        <v>20</v>
      </c>
    </row>
    <row r="7" customFormat="false" ht="15" hidden="false" customHeight="false" outlineLevel="0" collapsed="false">
      <c r="B7" s="30" t="s">
        <v>53</v>
      </c>
      <c r="C7" s="29" t="n">
        <f aca="false">Actuals!O9</f>
        <v>33890</v>
      </c>
      <c r="D7" s="29" t="n">
        <f aca="false">Actuals!O39</f>
        <v>34311</v>
      </c>
      <c r="E7" s="23" t="n">
        <f aca="false">D7-C7</f>
        <v>421</v>
      </c>
      <c r="F7" s="22" t="n">
        <f aca="false">IF(C7=0,0,E7/ABS(C7))</f>
        <v>0.0124225435231632</v>
      </c>
      <c r="H7" s="28" t="str">
        <f aca="false">IF(E7&gt;0,"✓ Favourable",IF(E7&lt;0,"✗ Unfavourable","On Budget"))</f>
        <v>✓ Favourable</v>
      </c>
      <c r="I7" s="29" t="n">
        <f aca="false">SUM(Actuals!C9:E9)</f>
        <v>7980</v>
      </c>
      <c r="J7" s="29" t="n">
        <f aca="false">SUM(Actuals!C39:E39)</f>
        <v>8060</v>
      </c>
      <c r="K7" s="23" t="n">
        <f aca="false">J7-I7</f>
        <v>80</v>
      </c>
    </row>
    <row r="9" customFormat="false" ht="15" hidden="false" customHeight="false" outlineLevel="0" collapsed="false">
      <c r="B9" s="30" t="s">
        <v>57</v>
      </c>
      <c r="C9" s="29" t="n">
        <f aca="false">Actuals!O14</f>
        <v>5646</v>
      </c>
      <c r="D9" s="29" t="n">
        <f aca="false">Actuals!O44</f>
        <v>5725</v>
      </c>
      <c r="E9" s="23" t="n">
        <f aca="false">C9-D9</f>
        <v>-79</v>
      </c>
      <c r="F9" s="22" t="n">
        <f aca="false">IF(C9=0,0,E9/ABS(C9))</f>
        <v>-0.0139922068721219</v>
      </c>
      <c r="H9" s="28" t="str">
        <f aca="false">IF(E9&gt;0,"✓ Favourable",IF(E9&lt;0,"✗ Unfavourable","On Budget"))</f>
        <v>✗ Unfavourable</v>
      </c>
      <c r="I9" s="29" t="n">
        <f aca="false">SUM(Actuals!C14:E14)</f>
        <v>1335</v>
      </c>
      <c r="J9" s="29" t="n">
        <f aca="false">SUM(Actuals!C44:E44)</f>
        <v>1345</v>
      </c>
      <c r="K9" s="23" t="n">
        <f aca="false">I9-J9</f>
        <v>-10</v>
      </c>
    </row>
    <row r="10" customFormat="false" ht="15" hidden="false" customHeight="false" outlineLevel="0" collapsed="false">
      <c r="B10" s="30" t="s">
        <v>59</v>
      </c>
      <c r="C10" s="29" t="n">
        <f aca="false">Actuals!O16</f>
        <v>28244</v>
      </c>
      <c r="D10" s="29" t="n">
        <f aca="false">Actuals!O46</f>
        <v>28586</v>
      </c>
      <c r="E10" s="23" t="n">
        <f aca="false">D10-C10</f>
        <v>342</v>
      </c>
      <c r="F10" s="22" t="n">
        <f aca="false">IF(C10=0,0,E10/ABS(C10))</f>
        <v>0.0121087664636737</v>
      </c>
      <c r="H10" s="28" t="str">
        <f aca="false">IF(E10&gt;0,"✓ Favourable",IF(E10&lt;0,"✗ Unfavourable","On Budget"))</f>
        <v>✓ Favourable</v>
      </c>
      <c r="I10" s="29" t="n">
        <f aca="false">SUM(Actuals!C16:E16)</f>
        <v>6645</v>
      </c>
      <c r="J10" s="29" t="n">
        <f aca="false">SUM(Actuals!C46:E46)</f>
        <v>6715</v>
      </c>
      <c r="K10" s="23" t="n">
        <f aca="false">J10-I10</f>
        <v>70</v>
      </c>
    </row>
    <row r="12" customFormat="false" ht="15" hidden="false" customHeight="false" outlineLevel="0" collapsed="false">
      <c r="B12" s="28" t="s">
        <v>63</v>
      </c>
      <c r="C12" s="29" t="n">
        <f aca="false">Actuals!O20</f>
        <v>6910</v>
      </c>
      <c r="D12" s="29" t="n">
        <f aca="false">Actuals!O50</f>
        <v>7010</v>
      </c>
      <c r="E12" s="23" t="n">
        <f aca="false">C12-D12</f>
        <v>-100</v>
      </c>
      <c r="F12" s="22" t="n">
        <f aca="false">IF(C12=0,0,E12/ABS(C12))</f>
        <v>-0.0144717800289436</v>
      </c>
      <c r="H12" s="28" t="str">
        <f aca="false">IF(E12&gt;0,"✓ Favourable",IF(E12&lt;0,"✗ Unfavourable","On Budget"))</f>
        <v>✗ Unfavourable</v>
      </c>
      <c r="I12" s="29" t="n">
        <f aca="false">SUM(Actuals!C20:E20)</f>
        <v>1590</v>
      </c>
      <c r="J12" s="29" t="n">
        <f aca="false">SUM(Actuals!C50:E50)</f>
        <v>1615</v>
      </c>
      <c r="K12" s="23" t="n">
        <f aca="false">I12-J12</f>
        <v>-25</v>
      </c>
    </row>
    <row r="13" customFormat="false" ht="15" hidden="false" customHeight="false" outlineLevel="0" collapsed="false">
      <c r="B13" s="28" t="s">
        <v>64</v>
      </c>
      <c r="C13" s="29" t="n">
        <f aca="false">Actuals!O21</f>
        <v>8495</v>
      </c>
      <c r="D13" s="29" t="n">
        <f aca="false">Actuals!O51</f>
        <v>8520</v>
      </c>
      <c r="E13" s="23" t="n">
        <f aca="false">C13-D13</f>
        <v>-25</v>
      </c>
      <c r="F13" s="22" t="n">
        <f aca="false">IF(C13=0,0,E13/ABS(C13))</f>
        <v>-0.00294290759270159</v>
      </c>
      <c r="H13" s="28" t="str">
        <f aca="false">IF(E13&gt;0,"✓ Favourable",IF(E13&lt;0,"✗ Unfavourable","On Budget"))</f>
        <v>✗ Unfavourable</v>
      </c>
      <c r="I13" s="29" t="n">
        <f aca="false">SUM(Actuals!C21:E21)</f>
        <v>2055</v>
      </c>
      <c r="J13" s="29" t="n">
        <f aca="false">SUM(Actuals!C51:E51)</f>
        <v>2045</v>
      </c>
      <c r="K13" s="23" t="n">
        <f aca="false">I13-J13</f>
        <v>10</v>
      </c>
    </row>
    <row r="14" customFormat="false" ht="15" hidden="false" customHeight="false" outlineLevel="0" collapsed="false">
      <c r="B14" s="28" t="s">
        <v>65</v>
      </c>
      <c r="C14" s="29" t="n">
        <f aca="false">Actuals!O22</f>
        <v>3495</v>
      </c>
      <c r="D14" s="29" t="n">
        <f aca="false">Actuals!O52</f>
        <v>3520</v>
      </c>
      <c r="E14" s="23" t="n">
        <f aca="false">C14-D14</f>
        <v>-25</v>
      </c>
      <c r="F14" s="22" t="n">
        <f aca="false">IF(C14=0,0,E14/ABS(C14))</f>
        <v>-0.00715307582260372</v>
      </c>
      <c r="H14" s="28" t="str">
        <f aca="false">IF(E14&gt;0,"✓ Favourable",IF(E14&lt;0,"✗ Unfavourable","On Budget"))</f>
        <v>✗ Unfavourable</v>
      </c>
      <c r="I14" s="29" t="n">
        <f aca="false">SUM(Actuals!C22:E22)</f>
        <v>846</v>
      </c>
      <c r="J14" s="29" t="n">
        <f aca="false">SUM(Actuals!C52:E52)</f>
        <v>852</v>
      </c>
      <c r="K14" s="23" t="n">
        <f aca="false">I14-J14</f>
        <v>-6</v>
      </c>
    </row>
    <row r="15" customFormat="false" ht="15" hidden="false" customHeight="false" outlineLevel="0" collapsed="false">
      <c r="B15" s="30" t="s">
        <v>66</v>
      </c>
      <c r="C15" s="29" t="n">
        <f aca="false">Actuals!O23</f>
        <v>18900</v>
      </c>
      <c r="D15" s="29" t="n">
        <f aca="false">Actuals!O53</f>
        <v>19050</v>
      </c>
      <c r="E15" s="23" t="n">
        <f aca="false">C15-D15</f>
        <v>-150</v>
      </c>
      <c r="F15" s="22" t="n">
        <f aca="false">IF(C15=0,0,E15/ABS(C15))</f>
        <v>-0.00793650793650794</v>
      </c>
      <c r="H15" s="28" t="str">
        <f aca="false">IF(E15&gt;0,"✓ Favourable",IF(E15&lt;0,"✗ Unfavourable","On Budget"))</f>
        <v>✗ Unfavourable</v>
      </c>
      <c r="I15" s="29" t="n">
        <f aca="false">SUM(Actuals!C23:E23)</f>
        <v>4491</v>
      </c>
      <c r="J15" s="29" t="n">
        <f aca="false">SUM(Actuals!C53:E53)</f>
        <v>4512</v>
      </c>
      <c r="K15" s="23" t="n">
        <f aca="false">I15-J15</f>
        <v>-21</v>
      </c>
    </row>
    <row r="17" customFormat="false" ht="15" hidden="false" customHeight="false" outlineLevel="0" collapsed="false">
      <c r="B17" s="30" t="s">
        <v>68</v>
      </c>
      <c r="C17" s="29" t="n">
        <f aca="false">Actuals!O25</f>
        <v>9344</v>
      </c>
      <c r="D17" s="29" t="n">
        <f aca="false">Actuals!O55</f>
        <v>9536</v>
      </c>
      <c r="E17" s="23" t="n">
        <f aca="false">D17-C17</f>
        <v>192</v>
      </c>
      <c r="F17" s="22" t="n">
        <f aca="false">IF(C17=0,0,E17/ABS(C17))</f>
        <v>0.0205479452054795</v>
      </c>
      <c r="H17" s="28" t="str">
        <f aca="false">IF(E17&gt;0,"✓ Favourable",IF(E17&lt;0,"✗ Unfavourable","On Budget"))</f>
        <v>✓ Favourable</v>
      </c>
      <c r="I17" s="29" t="n">
        <f aca="false">SUM(Actuals!C25:E25)</f>
        <v>2154</v>
      </c>
      <c r="J17" s="29" t="n">
        <f aca="false">SUM(Actuals!C55:E55)</f>
        <v>2203</v>
      </c>
      <c r="K17" s="23" t="n">
        <f aca="false">J17-I17</f>
        <v>49</v>
      </c>
    </row>
    <row r="18" customFormat="false" ht="15" hidden="false" customHeight="false" outlineLevel="0" collapsed="false">
      <c r="B18" s="30" t="s">
        <v>75</v>
      </c>
      <c r="C18" s="29" t="n">
        <f aca="false">Actuals!O32</f>
        <v>6438.5</v>
      </c>
      <c r="D18" s="29" t="n">
        <f aca="false">Actuals!O62</f>
        <v>6582.28</v>
      </c>
      <c r="E18" s="23" t="n">
        <f aca="false">D18-C18</f>
        <v>143.780000000001</v>
      </c>
      <c r="F18" s="22" t="n">
        <f aca="false">IF(C18=0,0,E18/ABS(C18))</f>
        <v>0.0223312883435584</v>
      </c>
      <c r="H18" s="28" t="str">
        <f aca="false">IF(E18&gt;0,"✓ Favourable",IF(E18&lt;0,"✗ Unfavourable","On Budget"))</f>
        <v>✓ Favourable</v>
      </c>
      <c r="I18" s="29" t="n">
        <f aca="false">SUM(Actuals!C32:E32)</f>
        <v>1471.77</v>
      </c>
      <c r="J18" s="29" t="n">
        <f aca="false">SUM(Actuals!C62:E62)</f>
        <v>1510.48</v>
      </c>
      <c r="K18" s="23" t="n">
        <f aca="false">J18-I18</f>
        <v>38.71</v>
      </c>
    </row>
  </sheetData>
  <mergeCells count="2">
    <mergeCell ref="B1:K1"/>
    <mergeCell ref="B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B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6"/>
    <col collapsed="false" customWidth="true" hidden="false" outlineLevel="0" max="7" min="7" style="0" width="20"/>
  </cols>
  <sheetData>
    <row r="1" customFormat="false" ht="19.7" hidden="false" customHeight="false" outlineLevel="0" collapsed="false">
      <c r="B1" s="1" t="s">
        <v>87</v>
      </c>
      <c r="C1" s="1"/>
      <c r="D1" s="1"/>
      <c r="E1" s="1"/>
      <c r="F1" s="1"/>
      <c r="G1" s="1"/>
    </row>
    <row r="2" customFormat="false" ht="15" hidden="false" customHeight="false" outlineLevel="0" collapsed="false">
      <c r="B2" s="2" t="s">
        <v>88</v>
      </c>
      <c r="C2" s="2"/>
      <c r="D2" s="2"/>
      <c r="E2" s="2"/>
      <c r="F2" s="2"/>
      <c r="G2" s="2"/>
    </row>
    <row r="4" customFormat="false" ht="15" hidden="false" customHeight="false" outlineLevel="0" collapsed="false">
      <c r="B4" s="13" t="s">
        <v>89</v>
      </c>
      <c r="C4" s="13" t="s">
        <v>90</v>
      </c>
      <c r="D4" s="13" t="s">
        <v>91</v>
      </c>
      <c r="E4" s="13" t="s">
        <v>92</v>
      </c>
      <c r="F4" s="13" t="s">
        <v>83</v>
      </c>
      <c r="G4" s="13" t="s">
        <v>93</v>
      </c>
    </row>
    <row r="5" customFormat="false" ht="35.05" hidden="false" customHeight="false" outlineLevel="0" collapsed="false">
      <c r="B5" s="30" t="s">
        <v>94</v>
      </c>
      <c r="C5" s="31" t="n">
        <f aca="false">Actuals!O9</f>
        <v>33890</v>
      </c>
      <c r="D5" s="31" t="n">
        <f aca="false">Actuals!O39</f>
        <v>34311</v>
      </c>
      <c r="E5" s="32" t="n">
        <f aca="false">D5-C5</f>
        <v>421</v>
      </c>
      <c r="F5" s="33" t="str">
        <f aca="false">IF(E5&gt;0,"🟢 On Track",IF(E5&lt;-100,"🔴 Below Plan","🟡 Monitor"))</f>
        <v>🟢 On Track</v>
      </c>
      <c r="G5" s="18" t="s">
        <v>95</v>
      </c>
    </row>
    <row r="6" customFormat="false" ht="35.05" hidden="false" customHeight="false" outlineLevel="0" collapsed="false">
      <c r="B6" s="30" t="s">
        <v>60</v>
      </c>
      <c r="C6" s="34" t="n">
        <f aca="false">IF(Actuals!O9=0,0,Actuals!O16/Actuals!O9)</f>
        <v>0.833402183534966</v>
      </c>
      <c r="D6" s="34" t="n">
        <f aca="false">IF(Actuals!O39=0,0,Actuals!O46/Actuals!O39)</f>
        <v>0.833143889714669</v>
      </c>
      <c r="E6" s="35" t="n">
        <f aca="false">D6-C6</f>
        <v>-0.000258293820297295</v>
      </c>
      <c r="F6" s="33" t="str">
        <f aca="false">IF(E6&gt;=0,"🟢 On Track",IF(E6&lt;-0.02,"🔴 Below Plan","🟡 Monitor"))</f>
        <v>🟡 Monitor</v>
      </c>
      <c r="G6" s="18" t="s">
        <v>96</v>
      </c>
    </row>
    <row r="7" customFormat="false" ht="23.85" hidden="false" customHeight="false" outlineLevel="0" collapsed="false">
      <c r="B7" s="30" t="s">
        <v>97</v>
      </c>
      <c r="C7" s="31" t="n">
        <f aca="false">Actuals!O25</f>
        <v>9344</v>
      </c>
      <c r="D7" s="31" t="n">
        <f aca="false">Actuals!O55</f>
        <v>9536</v>
      </c>
      <c r="E7" s="32" t="n">
        <f aca="false">D7-C7</f>
        <v>192</v>
      </c>
      <c r="F7" s="33" t="str">
        <f aca="false">IF(E7&gt;0,"🟢 On Track",IF(E7&lt;-100,"🔴 Below Plan","🟡 Monitor"))</f>
        <v>🟢 On Track</v>
      </c>
      <c r="G7" s="18" t="s">
        <v>98</v>
      </c>
    </row>
    <row r="8" customFormat="false" ht="23.85" hidden="false" customHeight="false" outlineLevel="0" collapsed="false">
      <c r="B8" s="30" t="s">
        <v>99</v>
      </c>
      <c r="C8" s="31" t="n">
        <f aca="false">Actuals!O32</f>
        <v>6438.5</v>
      </c>
      <c r="D8" s="31" t="n">
        <f aca="false">Actuals!O62</f>
        <v>6582.28</v>
      </c>
      <c r="E8" s="32" t="n">
        <f aca="false">D8-C8</f>
        <v>143.780000000001</v>
      </c>
      <c r="F8" s="33" t="str">
        <f aca="false">IF(E8&gt;0,"🟢 On Track",IF(E8&lt;-100,"🔴 Below Plan","🟡 Monitor"))</f>
        <v>🟢 On Track</v>
      </c>
      <c r="G8" s="18" t="s">
        <v>100</v>
      </c>
    </row>
    <row r="9" customFormat="false" ht="23.85" hidden="false" customHeight="false" outlineLevel="0" collapsed="false">
      <c r="B9" s="30" t="s">
        <v>101</v>
      </c>
      <c r="C9" s="34" t="n">
        <f aca="false">IF(Actuals!O9=0,0,Actuals!O20/Actuals!O9)</f>
        <v>0.203894954263795</v>
      </c>
      <c r="D9" s="34" t="n">
        <f aca="false">IF(Actuals!O39=0,0,Actuals!O50/Actuals!O39)</f>
        <v>0.204307656436711</v>
      </c>
      <c r="E9" s="35" t="n">
        <f aca="false">D9-C9</f>
        <v>0.000412702172916613</v>
      </c>
      <c r="F9" s="33" t="str">
        <f aca="false">IF(ABS(E9)&lt;0.005,"🟢 On Track",IF(E9&gt;0.01,"🔴 Over Budget","🟡 Monitor"))</f>
        <v>🟢 On Track</v>
      </c>
      <c r="G9" s="18" t="s">
        <v>102</v>
      </c>
    </row>
    <row r="10" customFormat="false" ht="23.85" hidden="false" customHeight="false" outlineLevel="0" collapsed="false">
      <c r="B10" s="30" t="s">
        <v>103</v>
      </c>
      <c r="C10" s="34" t="n">
        <f aca="false">IF(Actuals!O9=0,0,Actuals!O21/Actuals!O9)</f>
        <v>0.250663912658601</v>
      </c>
      <c r="D10" s="34" t="n">
        <f aca="false">IF(Actuals!O39=0,0,Actuals!O51/Actuals!O39)</f>
        <v>0.248316866311096</v>
      </c>
      <c r="E10" s="35" t="n">
        <f aca="false">D10-C10</f>
        <v>-0.00234704634750582</v>
      </c>
      <c r="F10" s="33" t="str">
        <f aca="false">IF(ABS(E10)&lt;0.005,"🟢 On Track","🟡 Monitor")</f>
        <v>🟢 On Track</v>
      </c>
      <c r="G10" s="18" t="s">
        <v>104</v>
      </c>
    </row>
  </sheetData>
  <mergeCells count="2">
    <mergeCell ref="B1:G1"/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B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60"/>
    <col collapsed="false" customWidth="true" hidden="false" outlineLevel="0" max="4" min="4" style="0" width="25"/>
  </cols>
  <sheetData>
    <row r="1" customFormat="false" ht="19.7" hidden="false" customHeight="false" outlineLevel="0" collapsed="false">
      <c r="B1" s="1" t="s">
        <v>105</v>
      </c>
      <c r="C1" s="1"/>
      <c r="D1" s="1"/>
    </row>
    <row r="2" customFormat="false" ht="15" hidden="false" customHeight="false" outlineLevel="0" collapsed="false">
      <c r="B2" s="2" t="s">
        <v>106</v>
      </c>
      <c r="C2" s="2"/>
      <c r="D2" s="2"/>
    </row>
    <row r="4" customFormat="false" ht="15" hidden="false" customHeight="false" outlineLevel="0" collapsed="false">
      <c r="B4" s="13" t="s">
        <v>107</v>
      </c>
      <c r="C4" s="13" t="s">
        <v>93</v>
      </c>
      <c r="D4" s="13" t="s">
        <v>108</v>
      </c>
    </row>
    <row r="5" customFormat="false" ht="35.05" hidden="false" customHeight="false" outlineLevel="0" collapsed="false">
      <c r="B5" s="30" t="s">
        <v>109</v>
      </c>
      <c r="C5" s="18" t="s">
        <v>110</v>
      </c>
      <c r="D5" s="18" t="s">
        <v>111</v>
      </c>
    </row>
    <row r="6" customFormat="false" ht="35.05" hidden="false" customHeight="false" outlineLevel="0" collapsed="false">
      <c r="B6" s="30" t="s">
        <v>112</v>
      </c>
      <c r="C6" s="18" t="s">
        <v>113</v>
      </c>
      <c r="D6" s="18" t="s">
        <v>114</v>
      </c>
    </row>
    <row r="7" customFormat="false" ht="35.05" hidden="false" customHeight="false" outlineLevel="0" collapsed="false">
      <c r="B7" s="30" t="s">
        <v>63</v>
      </c>
      <c r="C7" s="18" t="s">
        <v>115</v>
      </c>
      <c r="D7" s="18" t="s">
        <v>116</v>
      </c>
    </row>
    <row r="8" customFormat="false" ht="35.05" hidden="false" customHeight="false" outlineLevel="0" collapsed="false">
      <c r="B8" s="30" t="s">
        <v>117</v>
      </c>
      <c r="C8" s="18" t="s">
        <v>118</v>
      </c>
      <c r="D8" s="18" t="s">
        <v>119</v>
      </c>
    </row>
    <row r="9" customFormat="false" ht="23.85" hidden="false" customHeight="false" outlineLevel="0" collapsed="false">
      <c r="B9" s="30" t="s">
        <v>120</v>
      </c>
      <c r="C9" s="18" t="s">
        <v>121</v>
      </c>
      <c r="D9" s="18" t="s">
        <v>122</v>
      </c>
    </row>
    <row r="10" customFormat="false" ht="23.85" hidden="false" customHeight="false" outlineLevel="0" collapsed="false">
      <c r="B10" s="30" t="s">
        <v>68</v>
      </c>
      <c r="C10" s="18" t="s">
        <v>123</v>
      </c>
      <c r="D10" s="18" t="s">
        <v>124</v>
      </c>
    </row>
    <row r="11" customFormat="false" ht="35.05" hidden="false" customHeight="false" outlineLevel="0" collapsed="false">
      <c r="B11" s="30" t="s">
        <v>125</v>
      </c>
      <c r="C11" s="18" t="s">
        <v>126</v>
      </c>
      <c r="D11" s="18" t="s">
        <v>127</v>
      </c>
    </row>
  </sheetData>
  <mergeCells count="2">
    <mergeCell ref="B1:D1"/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2026-04-02T08:48:08Z</dcterms:created>
  <dc:creator>openpyxl</dc:creator>
  <dc:description/>
  <dc:language>en-US</dc:language>
  <cp:lastModifiedBy/>
  <dcterms:modified xsi:type="dcterms:W3CDTF">2026-04-02T08:48:08Z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