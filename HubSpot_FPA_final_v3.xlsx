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500" firstSheet="17" activeTab="2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_Notes" sheetId="2" state="visible" r:id="rId2"/>
    <sheet xmlns:r="http://schemas.openxmlformats.org/officeDocument/2006/relationships" name="Data_Entry" sheetId="3" state="visible" r:id="rId3"/>
    <sheet xmlns:r="http://schemas.openxmlformats.org/officeDocument/2006/relationships" name="Input_Source_Map" sheetId="4" state="visible" r:id="rId4"/>
    <sheet xmlns:r="http://schemas.openxmlformats.org/officeDocument/2006/relationships" name="Executive_Summary" sheetId="5" state="visible" r:id="rId5"/>
    <sheet xmlns:r="http://schemas.openxmlformats.org/officeDocument/2006/relationships" name="Client_Request_List" sheetId="6" state="visible" r:id="rId6"/>
    <sheet xmlns:r="http://schemas.openxmlformats.org/officeDocument/2006/relationships" name="Assumption_Log" sheetId="7" state="visible" r:id="rId7"/>
    <sheet xmlns:r="http://schemas.openxmlformats.org/officeDocument/2006/relationships" name="Control" sheetId="8" state="visible" r:id="rId8"/>
    <sheet xmlns:r="http://schemas.openxmlformats.org/officeDocument/2006/relationships" name="Assumptions" sheetId="9" state="visible" r:id="rId9"/>
    <sheet xmlns:r="http://schemas.openxmlformats.org/officeDocument/2006/relationships" name="Revenue" sheetId="10" state="visible" r:id="rId10"/>
    <sheet xmlns:r="http://schemas.openxmlformats.org/officeDocument/2006/relationships" name="Headcount" sheetId="11" state="visible" r:id="rId11"/>
    <sheet xmlns:r="http://schemas.openxmlformats.org/officeDocument/2006/relationships" name="Opex" sheetId="12" state="visible" r:id="rId12"/>
    <sheet xmlns:r="http://schemas.openxmlformats.org/officeDocument/2006/relationships" name="Working_Capital" sheetId="13" state="visible" r:id="rId13"/>
    <sheet xmlns:r="http://schemas.openxmlformats.org/officeDocument/2006/relationships" name="Capex" sheetId="14" state="visible" r:id="rId14"/>
    <sheet xmlns:r="http://schemas.openxmlformats.org/officeDocument/2006/relationships" name="Checks" sheetId="15" state="visible" r:id="rId15"/>
    <sheet xmlns:r="http://schemas.openxmlformats.org/officeDocument/2006/relationships" name="Debt" sheetId="16" state="visible" r:id="rId16"/>
    <sheet xmlns:r="http://schemas.openxmlformats.org/officeDocument/2006/relationships" name="IS" sheetId="17" state="visible" r:id="rId17"/>
    <sheet xmlns:r="http://schemas.openxmlformats.org/officeDocument/2006/relationships" name="Budget_vs_Actual" sheetId="18" state="visible" r:id="rId18"/>
    <sheet xmlns:r="http://schemas.openxmlformats.org/officeDocument/2006/relationships" name="DCF_Valuation" sheetId="19" state="visible" r:id="rId19"/>
    <sheet xmlns:r="http://schemas.openxmlformats.org/officeDocument/2006/relationships" name="CF" sheetId="20" state="visible" r:id="rId20"/>
    <sheet xmlns:r="http://schemas.openxmlformats.org/officeDocument/2006/relationships" name="Dashboard" sheetId="21" state="visible" r:id="rId21"/>
    <sheet xmlns:r="http://schemas.openxmlformats.org/officeDocument/2006/relationships" name="Scenario_Analysis" sheetId="22" state="visible" r:id="rId22"/>
    <sheet xmlns:r="http://schemas.openxmlformats.org/officeDocument/2006/relationships" name="BS" sheetId="23" state="visible" r:id="rId23"/>
    <sheet xmlns:r="http://schemas.openxmlformats.org/officeDocument/2006/relationships" name="Rolling_Forecast" sheetId="24" state="visible" r:id="rId24"/>
    <sheet xmlns:r="http://schemas.openxmlformats.org/officeDocument/2006/relationships" name="SaaS_KPI_Tracker" sheetId="25" state="visible" r:id="rId25"/>
  </sheets>
  <definedNames/>
  <calcPr calcId="191029" fullCalcOnLoad="1"/>
</workbook>
</file>

<file path=xl/styles.xml><?xml version="1.0" encoding="utf-8"?>
<styleSheet xmlns="http://schemas.openxmlformats.org/spreadsheetml/2006/main">
  <numFmts count="16">
    <numFmt numFmtId="164" formatCode="mmm\-yy"/>
    <numFmt numFmtId="165" formatCode="\$#,##0;[Red]&quot;($&quot;#,##0\);\-"/>
    <numFmt numFmtId="166" formatCode="0;[Red]\(0\);\-"/>
    <numFmt numFmtId="167" formatCode="0.0%"/>
    <numFmt numFmtId="168" formatCode="#,##0;[Red]\(#,##0\);\-"/>
    <numFmt numFmtId="169" formatCode="mm/dd/yy"/>
    <numFmt numFmtId="170" formatCode="\$#,##0;&quot;($&quot;#,##0\);\-"/>
    <numFmt numFmtId="171" formatCode="0.0%;\(0.0%\);\-"/>
    <numFmt numFmtId="172" formatCode="\$#,##0.0;&quot;($&quot;#,##0.0\);\-"/>
    <numFmt numFmtId="173" formatCode="\$#,##0.00"/>
    <numFmt numFmtId="174" formatCode="#,##0;(#,##0);&quot;-&quot;"/>
    <numFmt numFmtId="175" formatCode="0.0%;(0.0%);&quot;-&quot;"/>
    <numFmt numFmtId="176" formatCode="#,##0.0;(#,##0.0);&quot;-&quot;"/>
    <numFmt numFmtId="177" formatCode="0.0x"/>
    <numFmt numFmtId="178" formatCode="0.0;(0.0);&quot;-&quot;"/>
    <numFmt numFmtId="179" formatCode="+#,##0.0;-#,##0.0;&quot;-&quot;"/>
  </numFmts>
  <fonts count="60">
    <font>
      <name val="Arial"/>
      <charset val="1"/>
      <family val="2"/>
      <sz val="10"/>
    </font>
    <font>
      <name val="Arial"/>
      <family val="2"/>
      <sz val="10"/>
    </font>
    <font>
      <name val="Calibri"/>
      <charset val="1"/>
      <family val="2"/>
      <color theme="1"/>
      <sz val="11"/>
    </font>
    <font>
      <name val="Cambria"/>
      <family val="1"/>
      <b val="1"/>
      <color rgb="FF1F4E78"/>
      <sz val="16"/>
    </font>
    <font>
      <name val="Cambria"/>
      <family val="1"/>
      <color rgb="FF666666"/>
      <sz val="10"/>
    </font>
    <font>
      <name val="Cambria"/>
      <family val="1"/>
      <b val="1"/>
      <color rgb="FFFFFFFF"/>
      <sz val="11"/>
    </font>
    <font>
      <name val="Cambria"/>
      <family val="1"/>
      <b val="1"/>
      <color rgb="FF1F4E78"/>
      <sz val="11"/>
    </font>
    <font>
      <name val="Cambria"/>
      <family val="1"/>
      <color rgb="FF666666"/>
      <sz val="11"/>
    </font>
    <font>
      <name val="Cambria"/>
      <family val="1"/>
      <b val="1"/>
      <sz val="12"/>
    </font>
    <font>
      <name val="Cambria"/>
      <family val="1"/>
      <sz val="10"/>
    </font>
    <font>
      <name val="Cambria"/>
      <family val="1"/>
      <b val="1"/>
      <sz val="10"/>
    </font>
    <font>
      <name val="Cambria"/>
      <family val="1"/>
      <color rgb="FF0000FF"/>
      <sz val="10"/>
    </font>
    <font>
      <name val="Cambria"/>
      <family val="1"/>
      <color rgb="FF595959"/>
      <sz val="9"/>
    </font>
    <font>
      <name val="Cambria"/>
      <family val="1"/>
      <i val="1"/>
      <color rgb="FF808080"/>
      <sz val="9"/>
    </font>
    <font>
      <name val="Cambria"/>
      <family val="1"/>
      <color rgb="FF0000FF"/>
      <sz val="11"/>
    </font>
    <font>
      <name val="Cambria"/>
      <family val="1"/>
      <color rgb="FF000000"/>
      <sz val="11"/>
    </font>
    <font>
      <name val="Cambria"/>
      <family val="1"/>
      <i val="1"/>
      <sz val="9"/>
    </font>
    <font>
      <name val="Cambria"/>
      <family val="1"/>
      <color rgb="FF008080"/>
      <sz val="11"/>
    </font>
    <font>
      <name val="Cambria"/>
      <family val="1"/>
      <sz val="9"/>
    </font>
    <font>
      <name val="Cambria"/>
      <family val="1"/>
      <color rgb="FF0070C0"/>
      <sz val="9"/>
    </font>
    <font>
      <name val="Cambria"/>
      <family val="1"/>
      <color rgb="FF008000"/>
      <sz val="11"/>
    </font>
    <font>
      <name val="Cambria"/>
      <family val="1"/>
      <b val="1"/>
      <color rgb="FFC55A11"/>
      <sz val="11"/>
    </font>
    <font>
      <name val="Cambria"/>
      <family val="1"/>
      <b val="1"/>
      <color rgb="FF000000"/>
      <sz val="11"/>
    </font>
    <font>
      <name val="Cambria"/>
      <family val="1"/>
      <b val="1"/>
      <color rgb="FF008080"/>
      <sz val="11"/>
    </font>
    <font>
      <name val="Arial"/>
      <family val="2"/>
      <b val="1"/>
      <color rgb="FFFFFFFF"/>
      <sz val="14"/>
    </font>
    <font>
      <name val="Arial"/>
      <family val="2"/>
      <color rgb="FF595959"/>
      <sz val="9"/>
    </font>
    <font>
      <name val="Arial"/>
      <family val="2"/>
      <b val="1"/>
      <color rgb="FF000000"/>
      <sz val="10"/>
    </font>
    <font>
      <name val="Arial"/>
      <family val="2"/>
      <color rgb="FF000000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8"/>
    </font>
    <font>
      <name val="Arial"/>
      <family val="2"/>
      <color rgb="FF0070C0"/>
      <sz val="9"/>
    </font>
    <font>
      <name val="Arial"/>
      <family val="2"/>
      <color rgb="FF375623"/>
      <sz val="9"/>
    </font>
    <font>
      <name val="Arial"/>
      <family val="2"/>
      <b val="1"/>
      <color rgb="FF000000"/>
      <sz val="9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0"/>
    </font>
    <font>
      <name val="Arial"/>
      <family val="2"/>
      <color rgb="FF0000FF"/>
      <sz val="9"/>
    </font>
    <font>
      <name val="Arial"/>
      <family val="2"/>
      <color rgb="FF595959"/>
      <sz val="8"/>
    </font>
    <font>
      <name val="Arial"/>
      <b val="1"/>
      <color rgb="00FFFFFF"/>
      <sz val="12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375623"/>
      <sz val="9"/>
    </font>
    <font>
      <name val="Arial"/>
      <color rgb="009C0006"/>
      <sz val="9"/>
    </font>
    <font>
      <name val="Arial"/>
      <b val="1"/>
      <color rgb="00FFFFFF"/>
      <sz val="9"/>
    </font>
    <font>
      <name val="Arial"/>
      <color rgb="000000FF"/>
      <sz val="9"/>
    </font>
    <font>
      <name val="Arial"/>
      <b val="1"/>
      <color rgb="00FFFFFF"/>
      <sz val="11"/>
    </font>
    <font>
      <name val="Arial"/>
      <b val="1"/>
      <color rgb="00FFFFFF"/>
      <sz val="8"/>
    </font>
    <font>
      <name val="Arial"/>
      <b val="1"/>
      <color rgb="001F3864"/>
      <sz val="8"/>
    </font>
    <font>
      <name val="Arial"/>
      <b val="1"/>
      <color rgb="00AAAAAA"/>
      <sz val="8"/>
    </font>
    <font>
      <name val="Arial"/>
      <b val="1"/>
      <color rgb="00375623"/>
      <sz val="8"/>
    </font>
    <font>
      <name val="Arial"/>
      <b val="1"/>
      <color rgb="007F6000"/>
      <sz val="8"/>
    </font>
    <font>
      <name val="Arial"/>
      <b val="1"/>
      <color rgb="00595959"/>
      <sz val="8"/>
    </font>
    <font>
      <name val="Arial"/>
      <color rgb="00595959"/>
      <sz val="9"/>
    </font>
    <font>
      <name val="Arial"/>
      <b val="1"/>
      <color rgb="001F3864"/>
      <sz val="9"/>
    </font>
    <font>
      <name val="Arial"/>
      <color rgb="00AAAAAA"/>
      <sz val="9"/>
    </font>
    <font>
      <name val="Arial"/>
      <b val="1"/>
      <color rgb="007F6000"/>
      <sz val="9"/>
    </font>
    <font>
      <name val="Arial"/>
      <b val="1"/>
      <color rgb="00375623"/>
      <sz val="9"/>
    </font>
    <font>
      <name val="Arial"/>
      <b val="1"/>
      <color rgb="00595959"/>
      <sz val="9"/>
    </font>
    <font>
      <name val="Arial"/>
      <i val="1"/>
      <color rgb="00404040"/>
      <sz val="8"/>
    </font>
  </fonts>
  <fills count="34">
    <fill>
      <patternFill/>
    </fill>
    <fill>
      <patternFill patternType="gray125"/>
    </fill>
    <fill>
      <patternFill patternType="solid">
        <fgColor rgb="FF1F4E78"/>
        <bgColor rgb="FF1F4E79"/>
      </patternFill>
    </fill>
    <fill>
      <patternFill patternType="solid">
        <fgColor rgb="FFF3F4F6"/>
        <bgColor rgb="FFF2F2F2"/>
      </patternFill>
    </fill>
    <fill>
      <patternFill patternType="solid">
        <fgColor rgb="FFF2F2F2"/>
        <bgColor rgb="FFF3F4F6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4B942"/>
      </patternFill>
    </fill>
    <fill>
      <patternFill patternType="solid">
        <fgColor rgb="FFC6EFCE"/>
        <bgColor rgb="FFE2F0D9"/>
      </patternFill>
    </fill>
    <fill>
      <patternFill patternType="solid">
        <fgColor rgb="FFFFFDF7"/>
        <bgColor rgb="FFFFFFFF"/>
      </patternFill>
    </fill>
    <fill>
      <patternFill patternType="solid">
        <fgColor rgb="FFFCE4D6"/>
        <bgColor rgb="FFFFF2CC"/>
      </patternFill>
    </fill>
    <fill>
      <patternFill patternType="solid">
        <fgColor rgb="FF1F4E79"/>
        <bgColor rgb="FF1F4E78"/>
      </patternFill>
    </fill>
    <fill>
      <patternFill patternType="solid">
        <fgColor rgb="FFBDD7EE"/>
        <bgColor rgb="FFD0D7DE"/>
      </patternFill>
    </fill>
    <fill>
      <patternFill patternType="solid">
        <fgColor rgb="FFE2EFDA"/>
        <bgColor rgb="FFE2F0D9"/>
      </patternFill>
    </fill>
    <fill>
      <patternFill patternType="solid">
        <fgColor rgb="FFFFC7CE"/>
        <bgColor rgb="FFFCE4D6"/>
      </patternFill>
    </fill>
    <fill>
      <patternFill patternType="solid">
        <fgColor rgb="FFD9D9D9"/>
        <bgColor rgb="FFD0D7DE"/>
      </patternFill>
    </fill>
    <fill>
      <patternFill patternType="solid">
        <fgColor rgb="FF2F75B6"/>
        <bgColor rgb="FF0070C0"/>
      </patternFill>
    </fill>
    <fill>
      <patternFill patternType="solid">
        <fgColor rgb="FFF4B942"/>
        <bgColor rgb="FFFF9900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4A7A"/>
      </patternFill>
    </fill>
    <fill>
      <patternFill patternType="solid">
        <fgColor rgb="00FFFFFF"/>
      </patternFill>
    </fill>
    <fill>
      <patternFill patternType="solid">
        <fgColor rgb="00EEF2FA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DEEAF1"/>
      </patternFill>
    </fill>
    <fill>
      <patternFill patternType="solid">
        <fgColor rgb="00595959"/>
      </patternFill>
    </fill>
    <fill>
      <patternFill patternType="solid">
        <fgColor rgb="00DDEEFF"/>
      </patternFill>
    </fill>
    <fill>
      <patternFill patternType="solid">
        <fgColor rgb="00D9E1F2"/>
      </patternFill>
    </fill>
    <fill>
      <patternFill patternType="solid">
        <fgColor rgb="00EBF3E8"/>
      </patternFill>
    </fill>
    <fill>
      <patternFill patternType="solid">
        <fgColor rgb="00FFF2CC"/>
      </patternFill>
    </fill>
    <fill>
      <patternFill patternType="solid">
        <fgColor rgb="00F2F6FC"/>
      </patternFill>
    </fill>
    <fill>
      <patternFill patternType="solid">
        <fgColor rgb="00D6DCE4"/>
      </patternFill>
    </fill>
  </fills>
  <borders count="11">
    <border>
      <left/>
      <right/>
      <top/>
      <bottom/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/>
      <top/>
      <bottom style="thin">
        <color rgb="FFD0D7DE"/>
      </bottom>
      <diagonal/>
    </border>
    <border>
      <left/>
      <right/>
      <top/>
      <bottom style="thin">
        <color rgb="FFD9D9D9"/>
      </bottom>
      <diagonal/>
    </border>
    <border>
      <left/>
      <right/>
      <top style="medium">
        <color rgb="FF1F4E78"/>
      </top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  <border>
      <left style="thin">
        <color rgb="00B8CCE4"/>
      </left>
      <right style="medium">
        <color rgb="001F386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45">
    <xf numFmtId="0" fontId="0" fillId="0" borderId="0" pivotButton="0" quotePrefix="0" xfId="0"/>
    <xf numFmtId="0" fontId="24" fillId="1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vertical="center"/>
    </xf>
    <xf numFmtId="0" fontId="5" fillId="6" borderId="1" applyAlignment="1" pivotButton="0" quotePrefix="0" xfId="0">
      <alignment horizontal="left"/>
    </xf>
    <xf numFmtId="0" fontId="7" fillId="8" borderId="3" applyAlignment="1" pivotButton="0" quotePrefix="0" xfId="0">
      <alignment vertical="top" wrapText="1"/>
    </xf>
    <xf numFmtId="0" fontId="7" fillId="7" borderId="0" applyAlignment="1" pivotButton="0" quotePrefix="0" xfId="0">
      <alignment wrapText="1"/>
    </xf>
    <xf numFmtId="0" fontId="3" fillId="7" borderId="0" applyAlignment="1" pivotButton="0" quotePrefix="0" xfId="0">
      <alignment horizontal="left"/>
    </xf>
    <xf numFmtId="0" fontId="7" fillId="6" borderId="0" applyAlignment="1" pivotButton="0" quotePrefix="0" xfId="0">
      <alignment wrapText="1"/>
    </xf>
    <xf numFmtId="0" fontId="5" fillId="2" borderId="1" applyAlignment="1" pivotButton="0" quotePrefix="0" xfId="0">
      <alignment horizontal="left"/>
    </xf>
    <xf numFmtId="0" fontId="0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/>
    </xf>
    <xf numFmtId="0" fontId="5" fillId="2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vertical="top" wrapText="1"/>
    </xf>
    <xf numFmtId="0" fontId="7" fillId="0" borderId="0" pivotButton="0" quotePrefix="0" xfId="0"/>
    <xf numFmtId="0" fontId="2" fillId="0" borderId="2" applyAlignment="1" pivotButton="0" quotePrefix="0" xfId="0">
      <alignment vertical="top" wrapText="1"/>
    </xf>
    <xf numFmtId="0" fontId="6" fillId="3" borderId="2" applyAlignment="1" pivotButton="0" quotePrefix="0" xfId="0">
      <alignment horizontal="center"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4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13" fillId="0" borderId="0" pivotButton="0" quotePrefix="0" xfId="0"/>
    <xf numFmtId="0" fontId="7" fillId="0" borderId="0" applyAlignment="1" pivotButton="0" quotePrefix="0" xfId="0">
      <alignment wrapText="1"/>
    </xf>
    <xf numFmtId="0" fontId="5" fillId="2" borderId="1" applyAlignment="1" pivotButton="0" quotePrefix="0" xfId="0">
      <alignment horizontal="left"/>
    </xf>
    <xf numFmtId="0" fontId="14" fillId="5" borderId="2" pivotButton="0" quotePrefix="0" xfId="0"/>
    <xf numFmtId="0" fontId="5" fillId="6" borderId="1" applyAlignment="1" pivotButton="0" quotePrefix="0" xfId="0">
      <alignment horizontal="left"/>
    </xf>
    <xf numFmtId="0" fontId="6" fillId="3" borderId="2" applyAlignment="1" pivotButton="0" quotePrefix="0" xfId="0">
      <alignment horizontal="center"/>
    </xf>
    <xf numFmtId="164" fontId="11" fillId="6" borderId="2" pivotButton="0" quotePrefix="0" xfId="0"/>
    <xf numFmtId="164" fontId="15" fillId="0" borderId="0" pivotButton="0" quotePrefix="0" xfId="0"/>
    <xf numFmtId="165" fontId="11" fillId="6" borderId="2" pivotButton="0" quotePrefix="0" xfId="0"/>
    <xf numFmtId="165" fontId="15" fillId="0" borderId="0" pivotButton="0" quotePrefix="0" xfId="0"/>
    <xf numFmtId="166" fontId="11" fillId="6" borderId="2" pivotButton="0" quotePrefix="0" xfId="0"/>
    <xf numFmtId="166" fontId="15" fillId="0" borderId="0" pivotButton="0" quotePrefix="0" xfId="0"/>
    <xf numFmtId="167" fontId="11" fillId="6" borderId="2" pivotButton="0" quotePrefix="0" xfId="0"/>
    <xf numFmtId="167" fontId="15" fillId="0" borderId="0" pivotButton="0" quotePrefix="0" xfId="0"/>
    <xf numFmtId="168" fontId="11" fillId="6" borderId="2" pivotButton="0" quotePrefix="0" xfId="0"/>
    <xf numFmtId="168" fontId="15" fillId="0" borderId="0" pivotButton="0" quotePrefix="0" xfId="0"/>
    <xf numFmtId="0" fontId="16" fillId="0" borderId="0" pivotButton="0" quotePrefix="0" xfId="0"/>
    <xf numFmtId="164" fontId="0" fillId="0" borderId="0" pivotButton="0" quotePrefix="0" xfId="0"/>
    <xf numFmtId="169" fontId="0" fillId="0" borderId="0" pivotButton="0" quotePrefix="0" xfId="0"/>
    <xf numFmtId="0" fontId="11" fillId="6" borderId="0" pivotButton="0" quotePrefix="0" xfId="0"/>
    <xf numFmtId="164" fontId="6" fillId="3" borderId="2" applyAlignment="1" pivotButton="0" quotePrefix="0" xfId="0">
      <alignment horizontal="center"/>
    </xf>
    <xf numFmtId="166" fontId="14" fillId="5" borderId="0" pivotButton="0" quotePrefix="0" xfId="0"/>
    <xf numFmtId="165" fontId="14" fillId="5" borderId="0" pivotButton="0" quotePrefix="0" xfId="0"/>
    <xf numFmtId="0" fontId="7" fillId="6" borderId="0" applyAlignment="1" pivotButton="0" quotePrefix="0" xfId="0">
      <alignment wrapText="1"/>
    </xf>
    <xf numFmtId="0" fontId="6" fillId="7" borderId="2" applyAlignment="1" pivotButton="0" quotePrefix="0" xfId="0">
      <alignment horizontal="center"/>
    </xf>
    <xf numFmtId="0" fontId="7" fillId="8" borderId="3" applyAlignment="1" pivotButton="0" quotePrefix="0" xfId="0">
      <alignment vertical="top" wrapText="1"/>
    </xf>
    <xf numFmtId="0" fontId="7" fillId="0" borderId="3" applyAlignment="1" pivotButton="0" quotePrefix="0" xfId="0">
      <alignment vertical="top" wrapText="1"/>
    </xf>
    <xf numFmtId="0" fontId="7" fillId="6" borderId="3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/>
    </xf>
    <xf numFmtId="164" fontId="14" fillId="5" borderId="2" pivotButton="0" quotePrefix="0" xfId="0"/>
    <xf numFmtId="1" fontId="6" fillId="3" borderId="2" applyAlignment="1" pivotButton="0" quotePrefix="0" xfId="0">
      <alignment horizontal="center"/>
    </xf>
    <xf numFmtId="165" fontId="17" fillId="0" borderId="0" pivotButton="0" quotePrefix="0" xfId="0"/>
    <xf numFmtId="167" fontId="17" fillId="0" borderId="0" pivotButton="0" quotePrefix="0" xfId="0"/>
    <xf numFmtId="166" fontId="17" fillId="0" borderId="0" pivotButton="0" quotePrefix="0" xfId="0"/>
    <xf numFmtId="166" fontId="17" fillId="0" borderId="0" applyAlignment="1" pivotButton="0" quotePrefix="0" xfId="0">
      <alignment horizontal="center"/>
    </xf>
    <xf numFmtId="0" fontId="18" fillId="8" borderId="3" applyAlignment="1" pivotButton="0" quotePrefix="0" xfId="0">
      <alignment wrapText="1"/>
    </xf>
    <xf numFmtId="164" fontId="19" fillId="5" borderId="2" pivotButton="0" quotePrefix="0" xfId="0"/>
    <xf numFmtId="164" fontId="13" fillId="5" borderId="2" pivotButton="0" quotePrefix="0" xfId="0"/>
    <xf numFmtId="0" fontId="20" fillId="0" borderId="0" pivotButton="0" quotePrefix="0" xfId="0"/>
    <xf numFmtId="0" fontId="6" fillId="0" borderId="0" pivotButton="0" quotePrefix="0" xfId="0"/>
    <xf numFmtId="0" fontId="14" fillId="5" borderId="0" pivotButton="0" quotePrefix="0" xfId="0"/>
    <xf numFmtId="0" fontId="15" fillId="0" borderId="0" pivotButton="0" quotePrefix="0" xfId="0"/>
    <xf numFmtId="0" fontId="21" fillId="9" borderId="0" pivotButton="0" quotePrefix="0" xfId="0"/>
    <xf numFmtId="0" fontId="2" fillId="0" borderId="2" pivotButton="0" quotePrefix="0" xfId="0"/>
    <xf numFmtId="0" fontId="3" fillId="6" borderId="0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164" fontId="20" fillId="0" borderId="0" pivotButton="0" quotePrefix="0" xfId="0"/>
    <xf numFmtId="0" fontId="7" fillId="0" borderId="2" pivotButton="0" quotePrefix="0" xfId="0"/>
    <xf numFmtId="165" fontId="20" fillId="0" borderId="0" pivotButton="0" quotePrefix="0" xfId="0"/>
    <xf numFmtId="166" fontId="20" fillId="0" borderId="0" pivotButton="0" quotePrefix="0" xfId="0"/>
    <xf numFmtId="167" fontId="20" fillId="0" borderId="0" pivotButton="0" quotePrefix="0" xfId="0"/>
    <xf numFmtId="168" fontId="20" fillId="0" borderId="0" pivotButton="0" quotePrefix="0" xfId="0"/>
    <xf numFmtId="0" fontId="2" fillId="3" borderId="0" applyAlignment="1" pivotButton="0" quotePrefix="0" xfId="0">
      <alignment horizontal="left" vertical="center" wrapText="1"/>
    </xf>
    <xf numFmtId="164" fontId="6" fillId="3" borderId="2" applyAlignment="1" pivotButton="0" quotePrefix="0" xfId="0">
      <alignment horizontal="right"/>
    </xf>
    <xf numFmtId="0" fontId="15" fillId="0" borderId="0" applyAlignment="1" pivotButton="0" quotePrefix="0" xfId="0">
      <alignment horizontal="left" vertical="center" wrapText="1"/>
    </xf>
    <xf numFmtId="0" fontId="22" fillId="0" borderId="4" applyAlignment="1" pivotButton="0" quotePrefix="0" xfId="0">
      <alignment horizontal="left" vertical="center" wrapText="1"/>
    </xf>
    <xf numFmtId="165" fontId="23" fillId="0" borderId="4" pivotButton="0" quotePrefix="0" xfId="0"/>
    <xf numFmtId="0" fontId="22" fillId="0" borderId="0" applyAlignment="1" pivotButton="0" quotePrefix="0" xfId="0">
      <alignment horizontal="left" vertical="center" wrapText="1"/>
    </xf>
    <xf numFmtId="0" fontId="25" fillId="0" borderId="0" pivotButton="0" quotePrefix="0" xfId="0"/>
    <xf numFmtId="0" fontId="26" fillId="0" borderId="0" pivotButton="0" quotePrefix="0" xfId="0"/>
    <xf numFmtId="0" fontId="27" fillId="11" borderId="0" applyAlignment="1" pivotButton="0" quotePrefix="0" xfId="0">
      <alignment horizontal="center"/>
    </xf>
    <xf numFmtId="0" fontId="27" fillId="12" borderId="0" applyAlignment="1" pivotButton="0" quotePrefix="0" xfId="0">
      <alignment horizontal="center"/>
    </xf>
    <xf numFmtId="0" fontId="27" fillId="9" borderId="0" applyAlignment="1" pivotButton="0" quotePrefix="0" xfId="0">
      <alignment horizontal="center"/>
    </xf>
    <xf numFmtId="0" fontId="27" fillId="5" borderId="0" applyAlignment="1" pivotButton="0" quotePrefix="0" xfId="0">
      <alignment horizontal="center"/>
    </xf>
    <xf numFmtId="0" fontId="27" fillId="7" borderId="0" applyAlignment="1" pivotButton="0" quotePrefix="0" xfId="0">
      <alignment horizontal="center"/>
    </xf>
    <xf numFmtId="0" fontId="27" fillId="13" borderId="0" applyAlignment="1" pivotButton="0" quotePrefix="0" xfId="0">
      <alignment horizontal="center"/>
    </xf>
    <xf numFmtId="0" fontId="26" fillId="14" borderId="0" pivotButton="0" quotePrefix="0" xfId="0"/>
    <xf numFmtId="0" fontId="28" fillId="15" borderId="0" applyAlignment="1" pivotButton="0" quotePrefix="0" xfId="0">
      <alignment horizontal="center"/>
    </xf>
    <xf numFmtId="0" fontId="29" fillId="11" borderId="0" applyAlignment="1" pivotButton="0" quotePrefix="0" xfId="0">
      <alignment horizontal="center"/>
    </xf>
    <xf numFmtId="0" fontId="29" fillId="12" borderId="0" applyAlignment="1" pivotButton="0" quotePrefix="0" xfId="0">
      <alignment horizontal="center"/>
    </xf>
    <xf numFmtId="0" fontId="29" fillId="9" borderId="0" applyAlignment="1" pivotButton="0" quotePrefix="0" xfId="0">
      <alignment horizontal="center"/>
    </xf>
    <xf numFmtId="0" fontId="29" fillId="5" borderId="0" applyAlignment="1" pivotButton="0" quotePrefix="0" xfId="0">
      <alignment horizontal="center"/>
    </xf>
    <xf numFmtId="0" fontId="28" fillId="15" borderId="0" pivotButton="0" quotePrefix="0" xfId="0"/>
    <xf numFmtId="0" fontId="2" fillId="15" borderId="0" pivotButton="0" quotePrefix="0" xfId="0"/>
    <xf numFmtId="0" fontId="27" fillId="0" borderId="0" applyAlignment="1" pivotButton="0" quotePrefix="0" xfId="0">
      <alignment indent="1"/>
    </xf>
    <xf numFmtId="170" fontId="30" fillId="0" borderId="0" pivotButton="0" quotePrefix="0" xfId="0"/>
    <xf numFmtId="170" fontId="31" fillId="0" borderId="0" pivotButton="0" quotePrefix="0" xfId="0"/>
    <xf numFmtId="170" fontId="27" fillId="0" borderId="0" pivotButton="0" quotePrefix="0" xfId="0"/>
    <xf numFmtId="171" fontId="27" fillId="0" borderId="0" pivotButton="0" quotePrefix="0" xfId="0"/>
    <xf numFmtId="0" fontId="32" fillId="14" borderId="0" pivotButton="0" quotePrefix="0" xfId="0"/>
    <xf numFmtId="170" fontId="30" fillId="14" borderId="0" pivotButton="0" quotePrefix="0" xfId="0"/>
    <xf numFmtId="170" fontId="31" fillId="14" borderId="0" pivotButton="0" quotePrefix="0" xfId="0"/>
    <xf numFmtId="170" fontId="27" fillId="14" borderId="0" pivotButton="0" quotePrefix="0" xfId="0"/>
    <xf numFmtId="171" fontId="27" fillId="14" borderId="0" pivotButton="0" quotePrefix="0" xfId="0"/>
    <xf numFmtId="0" fontId="33" fillId="10" borderId="0" pivotButton="0" quotePrefix="0" xfId="0"/>
    <xf numFmtId="0" fontId="2" fillId="10" borderId="0" pivotButton="0" quotePrefix="0" xfId="0"/>
    <xf numFmtId="0" fontId="34" fillId="15" borderId="0" pivotButton="0" quotePrefix="0" xfId="0"/>
    <xf numFmtId="0" fontId="27" fillId="0" borderId="0" pivotButton="0" quotePrefix="0" xfId="0"/>
    <xf numFmtId="10" fontId="35" fillId="0" borderId="0" pivotButton="0" quotePrefix="0" xfId="0"/>
    <xf numFmtId="0" fontId="36" fillId="0" borderId="0" pivotButton="0" quotePrefix="0" xfId="0"/>
    <xf numFmtId="172" fontId="35" fillId="0" borderId="0" pivotButton="0" quotePrefix="0" xfId="0"/>
    <xf numFmtId="10" fontId="27" fillId="0" borderId="0" pivotButton="0" quotePrefix="0" xfId="0"/>
    <xf numFmtId="172" fontId="27" fillId="0" borderId="0" pivotButton="0" quotePrefix="0" xfId="0"/>
    <xf numFmtId="0" fontId="32" fillId="16" borderId="0" pivotButton="0" quotePrefix="0" xfId="0"/>
    <xf numFmtId="10" fontId="32" fillId="16" borderId="0" pivotButton="0" quotePrefix="0" xfId="0"/>
    <xf numFmtId="0" fontId="32" fillId="0" borderId="0" pivotButton="0" quotePrefix="0" xfId="0"/>
    <xf numFmtId="0" fontId="32" fillId="11" borderId="0" applyAlignment="1" pivotButton="0" quotePrefix="0" xfId="0">
      <alignment horizontal="center"/>
    </xf>
    <xf numFmtId="172" fontId="32" fillId="14" borderId="0" pivotButton="0" quotePrefix="0" xfId="0"/>
    <xf numFmtId="167" fontId="25" fillId="0" borderId="0" pivotButton="0" quotePrefix="0" xfId="0"/>
    <xf numFmtId="172" fontId="32" fillId="16" borderId="0" pivotButton="0" quotePrefix="0" xfId="0"/>
    <xf numFmtId="0" fontId="27" fillId="15" borderId="0" pivotButton="0" quotePrefix="0" xfId="0"/>
    <xf numFmtId="167" fontId="35" fillId="15" borderId="0" pivotButton="0" quotePrefix="0" xfId="0"/>
    <xf numFmtId="0" fontId="36" fillId="15" borderId="0" pivotButton="0" quotePrefix="0" xfId="0"/>
    <xf numFmtId="3" fontId="35" fillId="0" borderId="0" pivotButton="0" quotePrefix="0" xfId="0"/>
    <xf numFmtId="173" fontId="32" fillId="16" borderId="0" pivotButton="0" quotePrefix="0" xfId="0"/>
    <xf numFmtId="173" fontId="35" fillId="0" borderId="0" pivotButton="0" quotePrefix="0" xfId="0"/>
    <xf numFmtId="167" fontId="27" fillId="0" borderId="0" pivotButton="0" quotePrefix="0" xfId="0"/>
    <xf numFmtId="167" fontId="32" fillId="11" borderId="0" applyAlignment="1" pivotButton="0" quotePrefix="0" xfId="0">
      <alignment horizontal="center"/>
    </xf>
    <xf numFmtId="167" fontId="32" fillId="11" borderId="0" pivotButton="0" quotePrefix="0" xfId="0"/>
    <xf numFmtId="173" fontId="27" fillId="0" borderId="0" pivotButton="0" quotePrefix="0" xfId="0"/>
    <xf numFmtId="165" fontId="0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left"/>
    </xf>
    <xf numFmtId="0" fontId="28" fillId="15" borderId="0" applyAlignment="1" pivotButton="0" quotePrefix="0" xfId="0">
      <alignment horizontal="center"/>
    </xf>
    <xf numFmtId="0" fontId="0" fillId="0" borderId="1" pivotButton="0" quotePrefix="0" xfId="0"/>
    <xf numFmtId="0" fontId="0" fillId="0" borderId="3" pivotButton="0" quotePrefix="0" xfId="0"/>
    <xf numFmtId="0" fontId="37" fillId="17" borderId="0" applyAlignment="1" pivotButton="0" quotePrefix="0" xfId="0">
      <alignment horizontal="center" vertical="center"/>
    </xf>
    <xf numFmtId="0" fontId="38" fillId="18" borderId="0" applyAlignment="1" pivotButton="0" quotePrefix="0" xfId="0">
      <alignment horizontal="left" vertical="center"/>
    </xf>
    <xf numFmtId="0" fontId="39" fillId="17" borderId="0" applyAlignment="1" pivotButton="0" quotePrefix="0" xfId="0">
      <alignment horizontal="left" vertical="center"/>
    </xf>
    <xf numFmtId="0" fontId="44" fillId="17" borderId="5" applyAlignment="1" pivotButton="0" quotePrefix="0" xfId="0">
      <alignment horizontal="center" vertical="center"/>
    </xf>
    <xf numFmtId="0" fontId="44" fillId="24" borderId="5" applyAlignment="1" pivotButton="0" quotePrefix="0" xfId="0">
      <alignment horizontal="center" vertical="center"/>
    </xf>
    <xf numFmtId="0" fontId="44" fillId="25" borderId="5" applyAlignment="1" pivotButton="0" quotePrefix="0" xfId="0">
      <alignment horizontal="center" vertical="center"/>
    </xf>
    <xf numFmtId="0" fontId="40" fillId="21" borderId="5" applyAlignment="1" pivotButton="0" quotePrefix="0" xfId="0">
      <alignment horizontal="left" vertical="center"/>
    </xf>
    <xf numFmtId="0" fontId="41" fillId="21" borderId="5" applyAlignment="1" pivotButton="0" quotePrefix="0" xfId="0">
      <alignment horizontal="center" vertical="center"/>
    </xf>
    <xf numFmtId="174" fontId="45" fillId="26" borderId="5" applyAlignment="1" pivotButton="0" quotePrefix="0" xfId="0">
      <alignment horizontal="right" vertical="center"/>
    </xf>
    <xf numFmtId="174" fontId="45" fillId="22" borderId="5" applyAlignment="1" pivotButton="0" quotePrefix="0" xfId="0">
      <alignment horizontal="right" vertical="center"/>
    </xf>
    <xf numFmtId="174" fontId="45" fillId="23" borderId="5" applyAlignment="1" pivotButton="0" quotePrefix="0" xfId="0">
      <alignment horizontal="right" vertical="center"/>
    </xf>
    <xf numFmtId="175" fontId="42" fillId="22" borderId="5" applyAlignment="1" pivotButton="0" quotePrefix="0" xfId="0">
      <alignment horizontal="right" vertical="center"/>
    </xf>
    <xf numFmtId="175" fontId="43" fillId="23" borderId="5" applyAlignment="1" pivotButton="0" quotePrefix="0" xfId="0">
      <alignment horizontal="right" vertical="center"/>
    </xf>
    <xf numFmtId="0" fontId="40" fillId="20" borderId="5" applyAlignment="1" pivotButton="0" quotePrefix="0" xfId="0">
      <alignment horizontal="left" vertical="center"/>
    </xf>
    <xf numFmtId="0" fontId="41" fillId="20" borderId="5" applyAlignment="1" pivotButton="0" quotePrefix="0" xfId="0">
      <alignment horizontal="center" vertical="center"/>
    </xf>
    <xf numFmtId="175" fontId="45" fillId="26" borderId="5" applyAlignment="1" pivotButton="0" quotePrefix="0" xfId="0">
      <alignment horizontal="right" vertical="center"/>
    </xf>
    <xf numFmtId="175" fontId="45" fillId="22" borderId="5" applyAlignment="1" pivotButton="0" quotePrefix="0" xfId="0">
      <alignment horizontal="right" vertical="center"/>
    </xf>
    <xf numFmtId="175" fontId="45" fillId="23" borderId="5" applyAlignment="1" pivotButton="0" quotePrefix="0" xfId="0">
      <alignment horizontal="right" vertical="center"/>
    </xf>
    <xf numFmtId="0" fontId="39" fillId="19" borderId="5" applyAlignment="1" pivotButton="0" quotePrefix="0" xfId="0">
      <alignment horizontal="center" vertical="center"/>
    </xf>
    <xf numFmtId="176" fontId="41" fillId="26" borderId="5" applyAlignment="1" pivotButton="0" quotePrefix="0" xfId="0">
      <alignment horizontal="right" vertical="center"/>
    </xf>
    <xf numFmtId="176" fontId="42" fillId="22" borderId="5" applyAlignment="1" pivotButton="0" quotePrefix="0" xfId="0">
      <alignment horizontal="right" vertical="center"/>
    </xf>
    <xf numFmtId="176" fontId="43" fillId="23" borderId="5" applyAlignment="1" pivotButton="0" quotePrefix="0" xfId="0">
      <alignment horizontal="right" vertical="center"/>
    </xf>
    <xf numFmtId="175" fontId="41" fillId="26" borderId="5" applyAlignment="1" pivotButton="0" quotePrefix="0" xfId="0">
      <alignment horizontal="right" vertical="center"/>
    </xf>
    <xf numFmtId="174" fontId="41" fillId="26" borderId="5" applyAlignment="1" pivotButton="0" quotePrefix="0" xfId="0">
      <alignment horizontal="right" vertical="center"/>
    </xf>
    <xf numFmtId="174" fontId="42" fillId="22" borderId="5" applyAlignment="1" pivotButton="0" quotePrefix="0" xfId="0">
      <alignment horizontal="right" vertical="center"/>
    </xf>
    <xf numFmtId="174" fontId="43" fillId="23" borderId="5" applyAlignment="1" pivotButton="0" quotePrefix="0" xfId="0">
      <alignment horizontal="right" vertical="center"/>
    </xf>
    <xf numFmtId="0" fontId="39" fillId="27" borderId="0" applyAlignment="1" pivotButton="0" quotePrefix="0" xfId="0">
      <alignment horizontal="left" vertical="center"/>
    </xf>
    <xf numFmtId="0" fontId="40" fillId="28" borderId="5" applyAlignment="1" pivotButton="0" quotePrefix="0" xfId="0">
      <alignment horizontal="left" vertical="center"/>
    </xf>
    <xf numFmtId="0" fontId="41" fillId="20" borderId="5" applyAlignment="1" pivotButton="0" quotePrefix="0" xfId="0">
      <alignment horizontal="left" vertical="center"/>
    </xf>
    <xf numFmtId="0" fontId="40" fillId="22" borderId="5" applyAlignment="1" pivotButton="0" quotePrefix="0" xfId="0">
      <alignment horizontal="left" vertical="center"/>
    </xf>
    <xf numFmtId="0" fontId="40" fillId="23" borderId="5" applyAlignment="1" pivotButton="0" quotePrefix="0" xfId="0">
      <alignment horizontal="left" vertical="center"/>
    </xf>
    <xf numFmtId="0" fontId="40" fillId="26" borderId="5" applyAlignment="1" pivotButton="0" quotePrefix="0" xfId="0">
      <alignment horizontal="left" vertical="center"/>
    </xf>
    <xf numFmtId="0" fontId="39" fillId="17" borderId="0" applyAlignment="1" pivotButton="0" quotePrefix="0" xfId="0">
      <alignment horizontal="center" vertical="center"/>
    </xf>
    <xf numFmtId="0" fontId="39" fillId="19" borderId="0" applyAlignment="1" pivotButton="0" quotePrefix="0" xfId="0">
      <alignment horizontal="left" vertical="center"/>
    </xf>
    <xf numFmtId="176" fontId="41" fillId="20" borderId="5" applyAlignment="1" pivotButton="0" quotePrefix="0" xfId="0">
      <alignment horizontal="right" vertical="center"/>
    </xf>
    <xf numFmtId="176" fontId="41" fillId="21" borderId="5" applyAlignment="1" pivotButton="0" quotePrefix="0" xfId="0">
      <alignment horizontal="right" vertical="center"/>
    </xf>
    <xf numFmtId="175" fontId="41" fillId="21" borderId="5" applyAlignment="1" pivotButton="0" quotePrefix="0" xfId="0">
      <alignment horizontal="right" vertical="center"/>
    </xf>
    <xf numFmtId="174" fontId="41" fillId="21" borderId="5" applyAlignment="1" pivotButton="0" quotePrefix="0" xfId="0">
      <alignment horizontal="right" vertical="center"/>
    </xf>
    <xf numFmtId="174" fontId="41" fillId="20" borderId="5" applyAlignment="1" pivotButton="0" quotePrefix="0" xfId="0">
      <alignment horizontal="right" vertical="center"/>
    </xf>
    <xf numFmtId="177" fontId="42" fillId="22" borderId="5" applyAlignment="1" pivotButton="0" quotePrefix="0" xfId="0">
      <alignment horizontal="right" vertical="center"/>
    </xf>
    <xf numFmtId="177" fontId="43" fillId="23" borderId="5" applyAlignment="1" pivotButton="0" quotePrefix="0" xfId="0">
      <alignment horizontal="right" vertical="center"/>
    </xf>
    <xf numFmtId="178" fontId="41" fillId="20" borderId="5" applyAlignment="1" pivotButton="0" quotePrefix="0" xfId="0">
      <alignment horizontal="right" vertical="center"/>
    </xf>
    <xf numFmtId="174" fontId="45" fillId="26" borderId="5" applyAlignment="1" pivotButton="0" quotePrefix="0" xfId="0">
      <alignment horizontal="right" vertical="center"/>
    </xf>
    <xf numFmtId="174" fontId="45" fillId="22" borderId="5" applyAlignment="1" pivotButton="0" quotePrefix="0" xfId="0">
      <alignment horizontal="right" vertical="center"/>
    </xf>
    <xf numFmtId="174" fontId="45" fillId="23" borderId="5" applyAlignment="1" pivotButton="0" quotePrefix="0" xfId="0">
      <alignment horizontal="right" vertical="center"/>
    </xf>
    <xf numFmtId="176" fontId="41" fillId="26" borderId="5" applyAlignment="1" pivotButton="0" quotePrefix="0" xfId="0">
      <alignment horizontal="right" vertical="center"/>
    </xf>
    <xf numFmtId="176" fontId="42" fillId="22" borderId="5" applyAlignment="1" pivotButton="0" quotePrefix="0" xfId="0">
      <alignment horizontal="right" vertical="center"/>
    </xf>
    <xf numFmtId="176" fontId="43" fillId="23" borderId="5" applyAlignment="1" pivotButton="0" quotePrefix="0" xfId="0">
      <alignment horizontal="right" vertical="center"/>
    </xf>
    <xf numFmtId="174" fontId="41" fillId="26" borderId="5" applyAlignment="1" pivotButton="0" quotePrefix="0" xfId="0">
      <alignment horizontal="right" vertical="center"/>
    </xf>
    <xf numFmtId="174" fontId="42" fillId="22" borderId="5" applyAlignment="1" pivotButton="0" quotePrefix="0" xfId="0">
      <alignment horizontal="right" vertical="center"/>
    </xf>
    <xf numFmtId="174" fontId="43" fillId="23" borderId="5" applyAlignment="1" pivotButton="0" quotePrefix="0" xfId="0">
      <alignment horizontal="right" vertical="center"/>
    </xf>
    <xf numFmtId="0" fontId="0" fillId="0" borderId="8" pivotButton="0" quotePrefix="0" xfId="0"/>
    <xf numFmtId="0" fontId="0" fillId="0" borderId="9" pivotButton="0" quotePrefix="0" xfId="0"/>
    <xf numFmtId="176" fontId="41" fillId="20" borderId="5" applyAlignment="1" pivotButton="0" quotePrefix="0" xfId="0">
      <alignment horizontal="right" vertical="center"/>
    </xf>
    <xf numFmtId="176" fontId="41" fillId="21" borderId="5" applyAlignment="1" pivotButton="0" quotePrefix="0" xfId="0">
      <alignment horizontal="right" vertical="center"/>
    </xf>
    <xf numFmtId="174" fontId="41" fillId="21" borderId="5" applyAlignment="1" pivotButton="0" quotePrefix="0" xfId="0">
      <alignment horizontal="right" vertical="center"/>
    </xf>
    <xf numFmtId="174" fontId="41" fillId="20" borderId="5" applyAlignment="1" pivotButton="0" quotePrefix="0" xfId="0">
      <alignment horizontal="right" vertical="center"/>
    </xf>
    <xf numFmtId="0" fontId="46" fillId="17" borderId="0" applyAlignment="1" pivotButton="0" quotePrefix="0" xfId="0">
      <alignment horizontal="center" vertical="center"/>
    </xf>
    <xf numFmtId="0" fontId="38" fillId="18" borderId="0" applyAlignment="1" pivotButton="0" quotePrefix="0" xfId="0">
      <alignment horizontal="left" vertical="center" wrapText="1"/>
    </xf>
    <xf numFmtId="0" fontId="44" fillId="17" borderId="5" applyAlignment="1" pivotButton="0" quotePrefix="0" xfId="0">
      <alignment horizontal="left" vertical="center"/>
    </xf>
    <xf numFmtId="0" fontId="47" fillId="29" borderId="5" applyAlignment="1" pivotButton="0" quotePrefix="0" xfId="0">
      <alignment horizontal="center" vertical="center"/>
    </xf>
    <xf numFmtId="0" fontId="0" fillId="0" borderId="10" pivotButton="0" quotePrefix="0" xfId="0"/>
    <xf numFmtId="0" fontId="47" fillId="19" borderId="5" applyAlignment="1" pivotButton="0" quotePrefix="0" xfId="0">
      <alignment horizontal="center" vertical="center"/>
    </xf>
    <xf numFmtId="0" fontId="41" fillId="17" borderId="5" applyAlignment="1" pivotButton="0" quotePrefix="0" xfId="0">
      <alignment horizontal="left" vertical="center"/>
    </xf>
    <xf numFmtId="0" fontId="41" fillId="17" borderId="5" applyAlignment="1" pivotButton="0" quotePrefix="0" xfId="0">
      <alignment horizontal="center" vertical="center"/>
    </xf>
    <xf numFmtId="0" fontId="48" fillId="29" borderId="5" applyAlignment="1" pivotButton="0" quotePrefix="0" xfId="0">
      <alignment horizontal="center" vertical="center"/>
    </xf>
    <xf numFmtId="0" fontId="49" fillId="20" borderId="5" applyAlignment="1" pivotButton="0" quotePrefix="0" xfId="0">
      <alignment horizontal="center" vertical="center"/>
    </xf>
    <xf numFmtId="0" fontId="49" fillId="20" borderId="10" applyAlignment="1" pivotButton="0" quotePrefix="0" xfId="0">
      <alignment horizontal="center" vertical="center"/>
    </xf>
    <xf numFmtId="0" fontId="50" fillId="30" borderId="5" applyAlignment="1" pivotButton="0" quotePrefix="0" xfId="0">
      <alignment horizontal="center" vertical="center"/>
    </xf>
    <xf numFmtId="0" fontId="51" fillId="31" borderId="5" applyAlignment="1" pivotButton="0" quotePrefix="0" xfId="0">
      <alignment horizontal="center" vertical="center"/>
    </xf>
    <xf numFmtId="0" fontId="52" fillId="20" borderId="10" applyAlignment="1" pivotButton="0" quotePrefix="0" xfId="0">
      <alignment horizontal="center" vertical="center"/>
    </xf>
    <xf numFmtId="0" fontId="44" fillId="19" borderId="0" applyAlignment="1" pivotButton="0" quotePrefix="0" xfId="0">
      <alignment horizontal="left" vertical="center"/>
    </xf>
    <xf numFmtId="0" fontId="40" fillId="32" borderId="5" applyAlignment="1" pivotButton="0" quotePrefix="0" xfId="0">
      <alignment horizontal="left" vertical="center"/>
    </xf>
    <xf numFmtId="0" fontId="53" fillId="32" borderId="5" applyAlignment="1" pivotButton="0" quotePrefix="0" xfId="0">
      <alignment horizontal="center" vertical="center"/>
    </xf>
    <xf numFmtId="176" fontId="54" fillId="29" borderId="5" applyAlignment="1" pivotButton="0" quotePrefix="0" xfId="0">
      <alignment horizontal="right" vertical="center"/>
    </xf>
    <xf numFmtId="176" fontId="55" fillId="20" borderId="5" applyAlignment="1" pivotButton="0" quotePrefix="0" xfId="0">
      <alignment horizontal="right" vertical="center"/>
    </xf>
    <xf numFmtId="176" fontId="55" fillId="20" borderId="10" applyAlignment="1" pivotButton="0" quotePrefix="0" xfId="0">
      <alignment horizontal="right" vertical="center"/>
    </xf>
    <xf numFmtId="176" fontId="42" fillId="30" borderId="5" applyAlignment="1" pivotButton="0" quotePrefix="0" xfId="0">
      <alignment horizontal="right" vertical="center"/>
    </xf>
    <xf numFmtId="176" fontId="56" fillId="31" borderId="5" applyAlignment="1" pivotButton="0" quotePrefix="0" xfId="0">
      <alignment horizontal="right" vertical="center"/>
    </xf>
    <xf numFmtId="179" fontId="42" fillId="22" borderId="10" applyAlignment="1" pivotButton="0" quotePrefix="0" xfId="0">
      <alignment horizontal="right" vertical="center"/>
    </xf>
    <xf numFmtId="0" fontId="53" fillId="20" borderId="5" applyAlignment="1" pivotButton="0" quotePrefix="0" xfId="0">
      <alignment horizontal="center" vertical="center"/>
    </xf>
    <xf numFmtId="175" fontId="54" fillId="29" borderId="5" applyAlignment="1" pivotButton="0" quotePrefix="0" xfId="0">
      <alignment horizontal="right" vertical="center"/>
    </xf>
    <xf numFmtId="175" fontId="55" fillId="20" borderId="5" applyAlignment="1" pivotButton="0" quotePrefix="0" xfId="0">
      <alignment horizontal="right" vertical="center"/>
    </xf>
    <xf numFmtId="175" fontId="55" fillId="20" borderId="10" applyAlignment="1" pivotButton="0" quotePrefix="0" xfId="0">
      <alignment horizontal="right" vertical="center"/>
    </xf>
    <xf numFmtId="175" fontId="42" fillId="30" borderId="5" applyAlignment="1" pivotButton="0" quotePrefix="0" xfId="0">
      <alignment horizontal="right" vertical="center"/>
    </xf>
    <xf numFmtId="175" fontId="56" fillId="31" borderId="5" applyAlignment="1" pivotButton="0" quotePrefix="0" xfId="0">
      <alignment horizontal="right" vertical="center"/>
    </xf>
    <xf numFmtId="0" fontId="41" fillId="20" borderId="10" applyAlignment="1" pivotButton="0" quotePrefix="0" xfId="0">
      <alignment horizontal="right" vertical="center"/>
    </xf>
    <xf numFmtId="179" fontId="43" fillId="23" borderId="10" applyAlignment="1" pivotButton="0" quotePrefix="0" xfId="0">
      <alignment horizontal="right" vertical="center"/>
    </xf>
    <xf numFmtId="0" fontId="41" fillId="32" borderId="5" applyAlignment="1" pivotButton="0" quotePrefix="0" xfId="0">
      <alignment horizontal="left" vertical="center"/>
    </xf>
    <xf numFmtId="0" fontId="44" fillId="19" borderId="5" applyAlignment="1" pivotButton="0" quotePrefix="0" xfId="0">
      <alignment horizontal="center" vertical="center"/>
    </xf>
    <xf numFmtId="0" fontId="57" fillId="30" borderId="5" applyAlignment="1" pivotButton="0" quotePrefix="0" xfId="0">
      <alignment horizontal="center" vertical="center"/>
    </xf>
    <xf numFmtId="0" fontId="56" fillId="31" borderId="5" applyAlignment="1" pivotButton="0" quotePrefix="0" xfId="0">
      <alignment horizontal="center" vertical="center"/>
    </xf>
    <xf numFmtId="0" fontId="58" fillId="20" borderId="5" applyAlignment="1" pivotButton="0" quotePrefix="0" xfId="0">
      <alignment horizontal="center" vertical="center"/>
    </xf>
    <xf numFmtId="179" fontId="42" fillId="22" borderId="5" applyAlignment="1" pivotButton="0" quotePrefix="0" xfId="0">
      <alignment horizontal="right" vertical="center"/>
    </xf>
    <xf numFmtId="175" fontId="43" fillId="32" borderId="5" applyAlignment="1" pivotButton="0" quotePrefix="0" xfId="0">
      <alignment horizontal="right" vertical="center"/>
    </xf>
    <xf numFmtId="175" fontId="42" fillId="32" borderId="5" applyAlignment="1" pivotButton="0" quotePrefix="0" xfId="0">
      <alignment horizontal="right" vertical="center"/>
    </xf>
    <xf numFmtId="0" fontId="48" fillId="33" borderId="0" applyAlignment="1" pivotButton="0" quotePrefix="0" xfId="0">
      <alignment horizontal="left" vertical="center"/>
    </xf>
    <xf numFmtId="0" fontId="59" fillId="32" borderId="0" applyAlignment="1" pivotButton="0" quotePrefix="0" xfId="0">
      <alignment horizontal="left" vertical="center"/>
    </xf>
  </cellXfs>
  <cellStyles count="1">
    <cellStyle name="Normal" xfId="0" builtinId="0"/>
  </cellStyles>
  <dxfs count="4"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7DE"/>
      <rgbColor rgb="FF808080"/>
      <rgbColor rgb="FF9999FF"/>
      <rgbColor rgb="FF595959"/>
      <rgbColor rgb="FFFFF2CC"/>
      <rgbColor rgb="FFE2F0D9"/>
      <rgbColor rgb="FF660066"/>
      <rgbColor rgb="FFFF8080"/>
      <rgbColor rgb="FF0070C0"/>
      <rgbColor rgb="FFBDD7EE"/>
      <rgbColor rgb="FF000080"/>
      <rgbColor rgb="FFFF00FF"/>
      <rgbColor rgb="FFFFFDF7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D9D9D9"/>
      <rgbColor rgb="FFF2F2F2"/>
      <rgbColor rgb="FFF3F4F6"/>
      <rgbColor rgb="FFFFC7CE"/>
      <rgbColor rgb="FF2F75B6"/>
      <rgbColor rgb="FF33CCCC"/>
      <rgbColor rgb="FF99CC00"/>
      <rgbColor rgb="FFF4B942"/>
      <rgbColor rgb="FFFF9900"/>
      <rgbColor rgb="FFC55A11"/>
      <rgbColor rgb="FF666666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omments/comment1.xml><?xml version="1.0" encoding="utf-8"?>
<comments xmlns="http://schemas.openxmlformats.org/spreadsheetml/2006/main">
  <authors>
    <author>Unknown Author</author>
  </authors>
  <commentList>
    <comment ref="B5" authorId="0" shapeId="0">
      <text>
        <t>Typical source: FP&amp;A scenario pack, budget presentation, or management planning deck.
Typical owner/system: FP&amp;A Manager / CFO
Update timing: When presenting cases
See Input_Source_Map for full guidance.</t>
      </text>
    </comment>
    <comment ref="A11" authorId="0" shapeId="0">
      <text>
        <t>Typical source: Forecast calendar agreed with management or budget cycle.
Typical owner/system: FP&amp;A
Update timing: Once per model build
See Input_Source_Map for full guidance.</t>
      </text>
    </comment>
    <comment ref="A12" authorId="0" shapeId="0">
      <text>
        <t>Typical source: Latest balance sheet, bank statement, or trial balance.
Typical owner/system: Controller / Treasury / ERP
Update timing: Monthly close
See Input_Source_Map for full guidance.</t>
      </text>
    </comment>
    <comment ref="A13" authorId="0" shapeId="0">
      <text>
        <t>Typical source: AR aging report or latest balance sheet.
Typical owner/system: Accounting / ERP
Update timing: Monthly close
See Input_Source_Map for full guidance.</t>
      </text>
    </comment>
    <comment ref="A14" authorId="0" shapeId="0">
      <text>
        <t>Typical source: Fixed asset register or latest balance sheet.
Typical owner/system: Accounting / ERP
Update timing: Monthly close
See Input_Source_Map for full guidance.</t>
      </text>
    </comment>
    <comment ref="A15" authorId="0" shapeId="0">
      <text>
        <t>Typical source: AP aging report or latest balance sheet.
Typical owner/system: Accounting / ERP
Update timing: Monthly close
See Input_Source_Map for full guidance.</t>
      </text>
    </comment>
    <comment ref="A16" authorId="0" shapeId="0">
      <text>
        <t>Typical source: Debt schedule, loan statement, or balance sheet.
Typical owner/system: Treasury / Controller
Update timing: Monthly close
See Input_Source_Map for full guidance.</t>
      </text>
    </comment>
    <comment ref="A17" authorId="0" shapeId="0">
      <text>
        <t>Typical source: Balance sheet or prior audited financials.
Typical owner/system: Controller
Update timing: Rarely changes
See Input_Source_Map for full guidance.</t>
      </text>
    </comment>
    <comment ref="A18" authorId="0" shapeId="0">
      <text>
        <t>Typical source: Balance sheet or prior period close file.
Typical owner/system: Controller
Update timing: Monthly close
See Input_Source_Map for full guidance.</t>
      </text>
    </comment>
    <comment ref="A19" authorId="0" shapeId="0">
      <text>
        <t>Typical source: CRM, billing system, or subscription report.
Typical owner/system: Revenue Ops / CRM / Billing
Update timing: Monthly close
See Input_Source_Map for full guidance.</t>
      </text>
    </comment>
    <comment ref="A20" authorId="0" shapeId="0">
      <text>
        <t>Typical source: Sales pipeline, bookings plan, or historical conversion trend.
Typical owner/system: Sales Ops / FP&amp;A / CRM
Update timing: Monthly or reforecast
See Input_Source_Map for full guidance.</t>
      </text>
    </comment>
    <comment ref="A21" authorId="0" shapeId="0">
      <text>
        <t>Typical source: Historical retention report or billing cancellations.
Typical owner/system: Customer Success / Revenue Ops
Update timing: Monthly or reforecast
See Input_Source_Map for full guidance.</t>
      </text>
    </comment>
    <comment ref="A22" authorId="0" shapeId="0">
      <text>
        <t>Typical source: Billing system, invoicing data, or pricing report.
Typical owner/system: Billing / RevOps / FP&amp;A
Update timing: Monthly close
See Input_Source_Map for full guidance.</t>
      </text>
    </comment>
    <comment ref="A23" authorId="0" shapeId="0">
      <text>
        <t>Typical source: Pricing strategy, contract terms, or budget assumptions.
Typical owner/system: Pricing / Sales / FP&amp;A
Update timing: Budget / annual plan
See Input_Source_Map for full guidance.</t>
      </text>
    </comment>
    <comment ref="A24" authorId="0" shapeId="0">
      <text>
        <t>Typical source: Order forms, contract templates, or invoice history.
Typical owner/system: Sales Ops / Legal / Billing
Update timing: When pricing changes
See Input_Source_Map for full guidance.</t>
      </text>
    </comment>
    <comment ref="A25" authorId="0" shapeId="0">
      <text>
        <t>Typical source: Historical P&amp;L, gross margin analysis, or unit economics file.
Typical owner/system: Accounting / FP&amp;A
Update timing: Monthly close or reforecast
See Input_Source_Map for full guidance.</t>
      </text>
    </comment>
    <comment ref="A26" authorId="0" shapeId="0">
      <text>
        <t>Typical source: Payroll register, benefits invoices, or HR benefits schedule.
Typical owner/system: Payroll / HR / FP&amp;A
Update timing: Monthly close
See Input_Source_Map for full guidance.</t>
      </text>
    </comment>
    <comment ref="A27" authorId="0" shapeId="0">
      <text>
        <t>Typical source: Tax provision, prior returns, or tax advisor guidance.
Typical owner/system: Tax / Controller / FP&amp;A
Update timing: Quarterly or annual plan
See Input_Source_Map for full guidance.</t>
      </text>
    </comment>
    <comment ref="A28" authorId="0" shapeId="0">
      <text>
        <t>Typical source: AR aging analysis and collections history.
Typical owner/system: Accounting / Collections / FP&amp;A
Update timing: Monthly close
See Input_Source_Map for full guidance.</t>
      </text>
    </comment>
    <comment ref="A29" authorId="0" shapeId="0">
      <text>
        <t>Typical source: AP aging analysis and payment run history.
Typical owner/system: Accounting / AP / FP&amp;A
Update timing: Monthly close
See Input_Source_Map for full guidance.</t>
      </text>
    </comment>
    <comment ref="A30" authorId="0" shapeId="0">
      <text>
        <t>Typical source: Loan agreement or treasury debt model.
Typical owner/system: Treasury / CFO
Update timing: When financing changes
See Input_Source_Map for full guidance.</t>
      </text>
    </comment>
    <comment ref="A31" authorId="0" shapeId="0">
      <text>
        <t>Typical source: Accounting policy or fixed asset policy.
Typical owner/system: Controller / Accounting Policy
Update timing: Rarely changes
See Input_Source_Map for full guidance.</t>
      </text>
    </comment>
    <comment ref="A32" authorId="0" shapeId="0">
      <text>
        <t>Typical source: Capex budget, IT roadmap, or management plan.
Typical owner/system: FP&amp;A / IT / Operations
Update timing: Budget / reforecast
See Input_Source_Map for full guidance.</t>
      </text>
    </comment>
    <comment ref="A33" authorId="0" shapeId="0">
      <text>
        <t>Typical source: HR roster or payroll employee list.
Typical owner/system: HR / Payroll / FP&amp;A
Update timing: Monthly close
See Input_Source_Map for full guidance.</t>
      </text>
    </comment>
    <comment ref="A34" authorId="0" shapeId="0">
      <text>
        <t>Typical source: HR roster or payroll employee list.
Typical owner/system: HR / Payroll / FP&amp;A
Update timing: Monthly close
See Input_Source_Map for full guidance.</t>
      </text>
    </comment>
    <comment ref="A35" authorId="0" shapeId="0">
      <text>
        <t>Typical source: HR roster or payroll employee list.
Typical owner/system: HR / Payroll / FP&amp;A
Update timing: Monthly close
See Input_Source_Map for full guidance.</t>
      </text>
    </comment>
    <comment ref="A36" authorId="0" shapeId="0">
      <text>
        <t>Typical source: HR roster or payroll employee list.
Typical owner/system: HR / Payroll / FP&amp;A
Update timing: Monthly close
See Input_Source_Map for full guidance.</t>
      </text>
    </comment>
    <comment ref="A37" authorId="0" shapeId="0">
      <text>
        <t>Typical source: HR roster or payroll employee list.
Typical owner/system: HR / Payroll / FP&amp;A
Update timing: Monthly close
See Input_Source_Map for full guidance.</t>
      </text>
    </comment>
    <comment ref="A38" authorId="0" shapeId="0">
      <text>
        <t>Typical source: Payroll register or compensation planning file.
Typical owner/system: HR / Payroll / FP&amp;A
Update timing: Budget / reforecast
See Input_Source_Map for full guidance.</t>
      </text>
    </comment>
    <comment ref="A39" authorId="0" shapeId="0">
      <text>
        <t>Typical source: Payroll register or compensation planning file.
Typical owner/system: HR / Payroll / FP&amp;A
Update timing: Budget / reforecast
See Input_Source_Map for full guidance.</t>
      </text>
    </comment>
    <comment ref="A40" authorId="0" shapeId="0">
      <text>
        <t>Typical source: Payroll register or compensation planning file.
Typical owner/system: HR / Payroll / FP&amp;A
Update timing: Budget / reforecast
See Input_Source_Map for full guidance.</t>
      </text>
    </comment>
    <comment ref="A41" authorId="0" shapeId="0">
      <text>
        <t>Typical source: Payroll register or compensation planning file.
Typical owner/system: HR / Payroll / FP&amp;A
Update timing: Budget / reforecast
See Input_Source_Map for full guidance.</t>
      </text>
    </comment>
    <comment ref="A42" authorId="0" shapeId="0">
      <text>
        <t>Typical source: Payroll register or compensation planning file.
Typical owner/system: HR / Payroll / FP&amp;A
Update timing: Budget / reforecast
See Input_Source_Map for full guidance.</t>
      </text>
    </comment>
    <comment ref="A43" authorId="0" shapeId="0">
      <text>
        <t>Typical source: Marketing budget, historical spend, or CAC plan.
Typical owner/system: Marketing / FP&amp;A
Update timing: Monthly or reforecast
See Input_Source_Map for full guidance.</t>
      </text>
    </comment>
    <comment ref="A44" authorId="0" shapeId="0">
      <text>
        <t>Typical source: AP ledger, vendor contracts, or software budget.
Typical owner/system: IT / AP / FP&amp;A
Update timing: Monthly close
See Input_Source_Map for full guidance.</t>
      </text>
    </comment>
    <comment ref="A45" authorId="0" shapeId="0">
      <text>
        <t>Typical source: Lease schedule, AP ledger, or facilities budget.
Typical owner/system: Facilities / AP / FP&amp;A
Update timing: Monthly close
See Input_Source_Map for full guidance.</t>
      </text>
    </comment>
    <comment ref="A46" authorId="0" shapeId="0">
      <text>
        <t>Typical source: Historical T&amp;E spend, travel policy, or sales coverage plan.
Typical owner/system: FP&amp;A / Sales / AP
Update timing: Monthly or reforecast
See Input_Source_Map for full guidance.</t>
      </text>
    </comment>
    <comment ref="A47" authorId="0" shapeId="0">
      <text>
        <t>Typical source: AP ledger, budget detail, or departmental spend plan.
Typical owner/system: Controller / FP&amp;A
Update timing: Monthly close
See Input_Source_Map for full guidance.</t>
      </text>
    </comment>
    <comment ref="A56" authorId="0" shapeId="0">
      <text>
        <t>Typical source: Approved hiring plan, recruiter tracker, or workforce plan.
Typical owner/system: HR / Hiring Managers / FP&amp;A
Update timing: Monthly or reforecast
See Input_Source_Map for full guidance.</t>
      </text>
    </comment>
    <comment ref="A57" authorId="0" shapeId="0">
      <text>
        <t>Typical source: HR exit tracker or workforce plan.
Typical owner/system: HR / FP&amp;A
Update timing: Monthly or reforecast
See Input_Source_Map for full guidance.</t>
      </text>
    </comment>
    <comment ref="A58" authorId="0" shapeId="0">
      <text>
        <t>Typical source: Approved hiring plan, recruiter tracker, or workforce plan.
Typical owner/system: HR / Hiring Managers / FP&amp;A
Update timing: Monthly or reforecast
See Input_Source_Map for full guidance.</t>
      </text>
    </comment>
    <comment ref="A59" authorId="0" shapeId="0">
      <text>
        <t>Typical source: HR exit tracker or workforce plan.
Typical owner/system: HR / FP&amp;A
Update timing: Monthly or reforecast
See Input_Source_Map for full guidance.</t>
      </text>
    </comment>
    <comment ref="A60" authorId="0" shapeId="0">
      <text>
        <t>Typical source: Approved hiring plan, recruiter tracker, or workforce plan.
Typical owner/system: HR / Hiring Managers / FP&amp;A
Update timing: Monthly or reforecast
See Input_Source_Map for full guidance.</t>
      </text>
    </comment>
    <comment ref="A61" authorId="0" shapeId="0">
      <text>
        <t>Typical source: HR exit tracker or workforce plan.
Typical owner/system: HR / FP&amp;A
Update timing: Monthly or reforecast
See Input_Source_Map for full guidance.</t>
      </text>
    </comment>
    <comment ref="A62" authorId="0" shapeId="0">
      <text>
        <t>Typical source: Approved hiring plan, recruiter tracker, or workforce plan.
Typical owner/system: HR / Hiring Managers / FP&amp;A
Update timing: Monthly or reforecast
See Input_Source_Map for full guidance.</t>
      </text>
    </comment>
    <comment ref="A63" authorId="0" shapeId="0">
      <text>
        <t>Typical source: HR exit tracker or workforce plan.
Typical owner/system: HR / FP&amp;A
Update timing: Monthly or reforecast
See Input_Source_Map for full guidance.</t>
      </text>
    </comment>
    <comment ref="A64" authorId="0" shapeId="0">
      <text>
        <t>Typical source: Approved hiring plan, recruiter tracker, or workforce plan.
Typical owner/system: HR / Hiring Managers / FP&amp;A
Update timing: Monthly or reforecast
See Input_Source_Map for full guidance.</t>
      </text>
    </comment>
    <comment ref="A65" authorId="0" shapeId="0">
      <text>
        <t>Typical source: HR exit tracker or workforce plan.
Typical owner/system: HR / FP&amp;A
Update timing: Monthly or reforecast
See Input_Source_Map for full guidance.</t>
      </text>
    </comment>
    <comment ref="A70" authorId="0" shapeId="0">
      <text>
        <t>Typical source: Treasury cash plan, lender draw notice, or financing plan.
Typical owner/system: Treasury / CFO
Update timing: When financing changes
See Input_Source_Map for full guidance.</t>
      </text>
    </comment>
    <comment ref="A71" authorId="0" shapeId="0">
      <text>
        <t>Typical source: Debt amortization schedule, lender notice, or treasury plan.
Typical owner/system: Treasury / CFO
Update timing: When financing changes
See Input_Source_Map for full guidance.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1" authorId="0" shapeId="0">
      <text>
        <t>Auto-linked summary page for proposal screenshots or client handoff.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A1" authorId="0" shapeId="0">
      <text>
        <t>Use this tab to track outstanding client asks and deliverables.</t>
      </text>
    </comment>
    <comment ref="H11" authorId="0" shapeId="0">
      <text>
        <t>Optional note field for follow-up details, blockers, or file links.</t>
      </text>
    </comment>
    <comment ref="H12" authorId="0" shapeId="0">
      <text>
        <t>Optional note field for follow-up details, blockers, or file links.</t>
      </text>
    </comment>
    <comment ref="H13" authorId="0" shapeId="0">
      <text>
        <t>Optional note field for follow-up details, blockers, or file links.</t>
      </text>
    </comment>
    <comment ref="H14" authorId="0" shapeId="0">
      <text>
        <t>Optional note field for follow-up details, blockers, or file links.</t>
      </text>
    </comment>
    <comment ref="H15" authorId="0" shapeId="0">
      <text>
        <t>Optional note field for follow-up details, blockers, or file links.</t>
      </text>
    </comment>
    <comment ref="H16" authorId="0" shapeId="0">
      <text>
        <t>Optional note field for follow-up details, blockers, or file links.</t>
      </text>
    </comment>
    <comment ref="H17" authorId="0" shapeId="0">
      <text>
        <t>Optional note field for follow-up details, blockers, or file links.</t>
      </text>
    </comment>
    <comment ref="H18" authorId="0" shapeId="0">
      <text>
        <t>Optional note field for follow-up details, blockers, or file links.</t>
      </text>
    </comment>
    <comment ref="H19" authorId="0" shapeId="0">
      <text>
        <t>Optional note field for follow-up details, blockers, or file links.</t>
      </text>
    </comment>
    <comment ref="H20" authorId="0" shapeId="0">
      <text>
        <t>Optional note field for follow-up details, blockers, or file links.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A1" authorId="0" shapeId="0">
      <text>
        <t>Use this tab during assumption review sessions and management sign-off.</t>
      </text>
    </comment>
    <comment ref="K11" authorId="0" shapeId="0">
      <text>
        <t>Optional note for reviewer sign-off, challenge, or follow-up needed.</t>
      </text>
    </comment>
    <comment ref="K12" authorId="0" shapeId="0">
      <text>
        <t>Optional note for reviewer sign-off, challenge, or follow-up needed.</t>
      </text>
    </comment>
    <comment ref="K13" authorId="0" shapeId="0">
      <text>
        <t>Optional note for reviewer sign-off, challenge, or follow-up needed.</t>
      </text>
    </comment>
    <comment ref="K14" authorId="0" shapeId="0">
      <text>
        <t>Optional note for reviewer sign-off, challenge, or follow-up needed.</t>
      </text>
    </comment>
    <comment ref="K15" authorId="0" shapeId="0">
      <text>
        <t>Optional note for reviewer sign-off, challenge, or follow-up needed.</t>
      </text>
    </comment>
    <comment ref="K16" authorId="0" shapeId="0">
      <text>
        <t>Optional note for reviewer sign-off, challenge, or follow-up needed.</t>
      </text>
    </comment>
    <comment ref="K17" authorId="0" shapeId="0">
      <text>
        <t>Optional note for reviewer sign-off, challenge, or follow-up needed.</t>
      </text>
    </comment>
    <comment ref="K18" authorId="0" shapeId="0">
      <text>
        <t>Optional note for reviewer sign-off, challenge, or follow-up needed.</t>
      </text>
    </comment>
    <comment ref="K19" authorId="0" shapeId="0">
      <text>
        <t>Optional note for reviewer sign-off, challenge, or follow-up needed.</t>
      </text>
    </comment>
    <comment ref="K20" authorId="0" shapeId="0">
      <text>
        <t>Optional note for reviewer sign-off, challenge, or follow-up needed.</t>
      </text>
    </comment>
    <comment ref="K21" authorId="0" shapeId="0">
      <text>
        <t>Optional note for reviewer sign-off, challenge, or follow-up needed.</t>
      </text>
    </comment>
    <comment ref="K22" authorId="0" shapeId="0">
      <text>
        <t>Optional note for reviewer sign-off, challenge, or follow-up needed.</t>
      </text>
    </comment>
    <comment ref="K23" authorId="0" shapeId="0">
      <text>
        <t>Optional note for reviewer sign-off, challenge, or follow-up needed.</t>
      </text>
    </comment>
    <comment ref="K24" authorId="0" shapeId="0">
      <text>
        <t>Optional note for reviewer sign-off, challenge, or follow-up needed.</t>
      </text>
    </comment>
    <comment ref="K25" authorId="0" shapeId="0">
      <text>
        <t>Optional note for reviewer sign-off, challenge, or follow-up needed.</t>
      </text>
    </comment>
    <comment ref="K26" authorId="0" shapeId="0">
      <text>
        <t>Optional note for reviewer sign-off, challenge, or follow-up needed.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C6" authorId="0" shapeId="0">
      <text>
        <t>Source: Demo assumption for template use only. Replace with actual ERP/CRM/HRIS/contract data.</t>
      </text>
    </comment>
    <comment ref="D6" authorId="0" shapeId="0">
      <text>
        <t>Source: Demo assumption for template use only. Replace with actual ERP/CRM/HRIS/contract data.</t>
      </text>
    </comment>
    <comment ref="E6" authorId="0" shapeId="0">
      <text>
        <t>Source: Demo assumption for template use only. Replace with actual ERP/CRM/HRIS/contract data.</t>
      </text>
    </comment>
    <comment ref="C7" authorId="0" shapeId="0">
      <text>
        <t>Source: Demo assumption for template use only. Replace with actual ERP/CRM/HRIS/contract data.</t>
      </text>
    </comment>
    <comment ref="D7" authorId="0" shapeId="0">
      <text>
        <t>Source: Demo assumption for template use only. Replace with actual ERP/CRM/HRIS/contract data.</t>
      </text>
    </comment>
    <comment ref="E7" authorId="0" shapeId="0">
      <text>
        <t>Source: Demo assumption for template use only. Replace with actual ERP/CRM/HRIS/contract data.</t>
      </text>
    </comment>
    <comment ref="C8" authorId="0" shapeId="0">
      <text>
        <t>Source: Demo assumption for template use only. Replace with actual ERP/CRM/HRIS/contract data.</t>
      </text>
    </comment>
    <comment ref="D8" authorId="0" shapeId="0">
      <text>
        <t>Source: Demo assumption for template use only. Replace with actual ERP/CRM/HRIS/contract data.</t>
      </text>
    </comment>
    <comment ref="E8" authorId="0" shapeId="0">
      <text>
        <t>Source: Demo assumption for template use only. Replace with actual ERP/CRM/HRIS/contract data.</t>
      </text>
    </comment>
    <comment ref="C9" authorId="0" shapeId="0">
      <text>
        <t>Source: Demo assumption for template use only. Replace with actual ERP/CRM/HRIS/contract data.</t>
      </text>
    </comment>
    <comment ref="D9" authorId="0" shapeId="0">
      <text>
        <t>Source: Demo assumption for template use only. Replace with actual ERP/CRM/HRIS/contract data.</t>
      </text>
    </comment>
    <comment ref="E9" authorId="0" shapeId="0">
      <text>
        <t>Source: Demo assumption for template use only. Replace with actual ERP/CRM/HRIS/contract data.</t>
      </text>
    </comment>
    <comment ref="C10" authorId="0" shapeId="0">
      <text>
        <t>Source: Demo assumption for template use only. Replace with actual ERP/CRM/HRIS/contract data.</t>
      </text>
    </comment>
    <comment ref="D10" authorId="0" shapeId="0">
      <text>
        <t>Source: Demo assumption for template use only. Replace with actual ERP/CRM/HRIS/contract data.</t>
      </text>
    </comment>
    <comment ref="E10" authorId="0" shapeId="0">
      <text>
        <t>Source: Demo assumption for template use only. Replace with actual ERP/CRM/HRIS/contract data.</t>
      </text>
    </comment>
    <comment ref="C11" authorId="0" shapeId="0">
      <text>
        <t>Source: Demo assumption for template use only. Replace with actual ERP/CRM/HRIS/contract data.</t>
      </text>
    </comment>
    <comment ref="D11" authorId="0" shapeId="0">
      <text>
        <t>Source: Demo assumption for template use only. Replace with actual ERP/CRM/HRIS/contract data.</t>
      </text>
    </comment>
    <comment ref="E11" authorId="0" shapeId="0">
      <text>
        <t>Source: Demo assumption for template use only. Replace with actual ERP/CRM/HRIS/contract data.</t>
      </text>
    </comment>
    <comment ref="C12" authorId="0" shapeId="0">
      <text>
        <t>Source: Demo assumption for template use only. Replace with actual ERP/CRM/HRIS/contract data.</t>
      </text>
    </comment>
    <comment ref="D12" authorId="0" shapeId="0">
      <text>
        <t>Source: Demo assumption for template use only. Replace with actual ERP/CRM/HRIS/contract data.</t>
      </text>
    </comment>
    <comment ref="E12" authorId="0" shapeId="0">
      <text>
        <t>Source: Demo assumption for template use only. Replace with actual ERP/CRM/HRIS/contract data.</t>
      </text>
    </comment>
    <comment ref="C13" authorId="0" shapeId="0">
      <text>
        <t>Source: Demo assumption for template use only. Replace with actual ERP/CRM/HRIS/contract data.</t>
      </text>
    </comment>
    <comment ref="D13" authorId="0" shapeId="0">
      <text>
        <t>Source: Demo assumption for template use only. Replace with actual ERP/CRM/HRIS/contract data.</t>
      </text>
    </comment>
    <comment ref="E13" authorId="0" shapeId="0">
      <text>
        <t>Source: Demo assumption for template use only. Replace with actual ERP/CRM/HRIS/contract data.</t>
      </text>
    </comment>
    <comment ref="C14" authorId="0" shapeId="0">
      <text>
        <t>Source: Demo assumption for template use only. Replace with actual ERP/CRM/HRIS/contract data.</t>
      </text>
    </comment>
    <comment ref="D14" authorId="0" shapeId="0">
      <text>
        <t>Source: Demo assumption for template use only. Replace with actual ERP/CRM/HRIS/contract data.</t>
      </text>
    </comment>
    <comment ref="E14" authorId="0" shapeId="0">
      <text>
        <t>Source: Demo assumption for template use only. Replace with actual ERP/CRM/HRIS/contract data.</t>
      </text>
    </comment>
    <comment ref="C15" authorId="0" shapeId="0">
      <text>
        <t>Source: Demo assumption for template use only. Replace with actual ERP/CRM/HRIS/contract data.</t>
      </text>
    </comment>
    <comment ref="D15" authorId="0" shapeId="0">
      <text>
        <t>Source: Demo assumption for template use only. Replace with actual ERP/CRM/HRIS/contract data.</t>
      </text>
    </comment>
    <comment ref="E15" authorId="0" shapeId="0">
      <text>
        <t>Source: Demo assumption for template use only. Replace with actual ERP/CRM/HRIS/contract data.</t>
      </text>
    </comment>
    <comment ref="C16" authorId="0" shapeId="0">
      <text>
        <t>Source: Demo assumption for template use only. Replace with actual ERP/CRM/HRIS/contract data.</t>
      </text>
    </comment>
    <comment ref="D16" authorId="0" shapeId="0">
      <text>
        <t>Source: Demo assumption for template use only. Replace with actual ERP/CRM/HRIS/contract data.</t>
      </text>
    </comment>
    <comment ref="E16" authorId="0" shapeId="0">
      <text>
        <t>Source: Demo assumption for template use only. Replace with actual ERP/CRM/HRIS/contract data.</t>
      </text>
    </comment>
    <comment ref="C17" authorId="0" shapeId="0">
      <text>
        <t>Source: Demo assumption for template use only. Replace with actual ERP/CRM/HRIS/contract data.</t>
      </text>
    </comment>
    <comment ref="D17" authorId="0" shapeId="0">
      <text>
        <t>Source: Demo assumption for template use only. Replace with actual ERP/CRM/HRIS/contract data.</t>
      </text>
    </comment>
    <comment ref="E17" authorId="0" shapeId="0">
      <text>
        <t>Source: Demo assumption for template use only. Replace with actual ERP/CRM/HRIS/contract data.</t>
      </text>
    </comment>
    <comment ref="C18" authorId="0" shapeId="0">
      <text>
        <t>Source: Demo assumption for template use only. Replace with actual ERP/CRM/HRIS/contract data.</t>
      </text>
    </comment>
    <comment ref="D18" authorId="0" shapeId="0">
      <text>
        <t>Source: Demo assumption for template use only. Replace with actual ERP/CRM/HRIS/contract data.</t>
      </text>
    </comment>
    <comment ref="E18" authorId="0" shapeId="0">
      <text>
        <t>Source: Demo assumption for template use only. Replace with actual ERP/CRM/HRIS/contract data.</t>
      </text>
    </comment>
    <comment ref="C19" authorId="0" shapeId="0">
      <text>
        <t>Source: Demo assumption for template use only. Replace with actual ERP/CRM/HRIS/contract data.</t>
      </text>
    </comment>
    <comment ref="D19" authorId="0" shapeId="0">
      <text>
        <t>Source: Demo assumption for template use only. Replace with actual ERP/CRM/HRIS/contract data.</t>
      </text>
    </comment>
    <comment ref="E19" authorId="0" shapeId="0">
      <text>
        <t>Source: Demo assumption for template use only. Replace with actual ERP/CRM/HRIS/contract data.</t>
      </text>
    </comment>
    <comment ref="C20" authorId="0" shapeId="0">
      <text>
        <t>Source: Demo assumption for template use only. Replace with actual ERP/CRM/HRIS/contract data.</t>
      </text>
    </comment>
    <comment ref="D20" authorId="0" shapeId="0">
      <text>
        <t>Source: Demo assumption for template use only. Replace with actual ERP/CRM/HRIS/contract data.</t>
      </text>
    </comment>
    <comment ref="E20" authorId="0" shapeId="0">
      <text>
        <t>Source: Demo assumption for template use only. Replace with actual ERP/CRM/HRIS/contract data.</t>
      </text>
    </comment>
    <comment ref="C21" authorId="0" shapeId="0">
      <text>
        <t>Source: Demo assumption for template use only. Replace with actual ERP/CRM/HRIS/contract data.</t>
      </text>
    </comment>
    <comment ref="D21" authorId="0" shapeId="0">
      <text>
        <t>Source: Demo assumption for template use only. Replace with actual ERP/CRM/HRIS/contract data.</t>
      </text>
    </comment>
    <comment ref="E21" authorId="0" shapeId="0">
      <text>
        <t>Source: Demo assumption for template use only. Replace with actual ERP/CRM/HRIS/contract data.</t>
      </text>
    </comment>
    <comment ref="C22" authorId="0" shapeId="0">
      <text>
        <t>Source: Demo assumption for template use only. Replace with actual ERP/CRM/HRIS/contract data.</t>
      </text>
    </comment>
    <comment ref="D22" authorId="0" shapeId="0">
      <text>
        <t>Source: Demo assumption for template use only. Replace with actual ERP/CRM/HRIS/contract data.</t>
      </text>
    </comment>
    <comment ref="E22" authorId="0" shapeId="0">
      <text>
        <t>Source: Demo assumption for template use only. Replace with actual ERP/CRM/HRIS/contract data.</t>
      </text>
    </comment>
    <comment ref="C23" authorId="0" shapeId="0">
      <text>
        <t>Source: Demo assumption for template use only. Replace with actual ERP/CRM/HRIS/contract data.</t>
      </text>
    </comment>
    <comment ref="D23" authorId="0" shapeId="0">
      <text>
        <t>Source: Demo assumption for template use only. Replace with actual ERP/CRM/HRIS/contract data.</t>
      </text>
    </comment>
    <comment ref="E23" authorId="0" shapeId="0">
      <text>
        <t>Source: Demo assumption for template use only. Replace with actual ERP/CRM/HRIS/contract data.</t>
      </text>
    </comment>
    <comment ref="C24" authorId="0" shapeId="0">
      <text>
        <t>Source: Demo assumption for template use only. Replace with actual ERP/CRM/HRIS/contract data.</t>
      </text>
    </comment>
    <comment ref="D24" authorId="0" shapeId="0">
      <text>
        <t>Source: Demo assumption for template use only. Replace with actual ERP/CRM/HRIS/contract data.</t>
      </text>
    </comment>
    <comment ref="E24" authorId="0" shapeId="0">
      <text>
        <t>Source: Demo assumption for template use only. Replace with actual ERP/CRM/HRIS/contract data.</t>
      </text>
    </comment>
    <comment ref="C25" authorId="0" shapeId="0">
      <text>
        <t>Source: Demo assumption for template use only. Replace with actual ERP/CRM/HRIS/contract data.</t>
      </text>
    </comment>
    <comment ref="D25" authorId="0" shapeId="0">
      <text>
        <t>Source: Demo assumption for template use only. Replace with actual ERP/CRM/HRIS/contract data.</t>
      </text>
    </comment>
    <comment ref="E25" authorId="0" shapeId="0">
      <text>
        <t>Source: Demo assumption for template use only. Replace with actual ERP/CRM/HRIS/contract data.</t>
      </text>
    </comment>
    <comment ref="C26" authorId="0" shapeId="0">
      <text>
        <t>Source: Demo assumption for template use only. Replace with actual ERP/CRM/HRIS/contract data.</t>
      </text>
    </comment>
    <comment ref="D26" authorId="0" shapeId="0">
      <text>
        <t>Source: Demo assumption for template use only. Replace with actual ERP/CRM/HRIS/contract data.</t>
      </text>
    </comment>
    <comment ref="E26" authorId="0" shapeId="0">
      <text>
        <t>Source: Demo assumption for template use only. Replace with actual ERP/CRM/HRIS/contract data.</t>
      </text>
    </comment>
    <comment ref="C27" authorId="0" shapeId="0">
      <text>
        <t>Source: Demo assumption for template use only. Replace with actual ERP/CRM/HRIS/contract data.</t>
      </text>
    </comment>
    <comment ref="D27" authorId="0" shapeId="0">
      <text>
        <t>Source: Demo assumption for template use only. Replace with actual ERP/CRM/HRIS/contract data.</t>
      </text>
    </comment>
    <comment ref="E27" authorId="0" shapeId="0">
      <text>
        <t>Source: Demo assumption for template use only. Replace with actual ERP/CRM/HRIS/contract data.</t>
      </text>
    </comment>
    <comment ref="C28" authorId="0" shapeId="0">
      <text>
        <t>Source: Demo assumption for template use only. Replace with actual ERP/CRM/HRIS/contract data.</t>
      </text>
    </comment>
    <comment ref="D28" authorId="0" shapeId="0">
      <text>
        <t>Source: Demo assumption for template use only. Replace with actual ERP/CRM/HRIS/contract data.</t>
      </text>
    </comment>
    <comment ref="E28" authorId="0" shapeId="0">
      <text>
        <t>Source: Demo assumption for template use only. Replace with actual ERP/CRM/HRIS/contract data.</t>
      </text>
    </comment>
    <comment ref="C29" authorId="0" shapeId="0">
      <text>
        <t>Source: Demo assumption for template use only. Replace with actual ERP/CRM/HRIS/contract data.</t>
      </text>
    </comment>
    <comment ref="D29" authorId="0" shapeId="0">
      <text>
        <t>Source: Demo assumption for template use only. Replace with actual ERP/CRM/HRIS/contract data.</t>
      </text>
    </comment>
    <comment ref="E29" authorId="0" shapeId="0">
      <text>
        <t>Source: Demo assumption for template use only. Replace with actual ERP/CRM/HRIS/contract data.</t>
      </text>
    </comment>
    <comment ref="C30" authorId="0" shapeId="0">
      <text>
        <t>Source: Demo assumption for template use only. Replace with actual ERP/CRM/HRIS/contract data.</t>
      </text>
    </comment>
    <comment ref="D30" authorId="0" shapeId="0">
      <text>
        <t>Source: Demo assumption for template use only. Replace with actual ERP/CRM/HRIS/contract data.</t>
      </text>
    </comment>
    <comment ref="E30" authorId="0" shapeId="0">
      <text>
        <t>Source: Demo assumption for template use only. Replace with actual ERP/CRM/HRIS/contract data.</t>
      </text>
    </comment>
    <comment ref="C31" authorId="0" shapeId="0">
      <text>
        <t>Source: Demo assumption for template use only. Replace with actual ERP/CRM/HRIS/contract data.</t>
      </text>
    </comment>
    <comment ref="D31" authorId="0" shapeId="0">
      <text>
        <t>Source: Demo assumption for template use only. Replace with actual ERP/CRM/HRIS/contract data.</t>
      </text>
    </comment>
    <comment ref="E31" authorId="0" shapeId="0">
      <text>
        <t>Source: Demo assumption for template use only. Replace with actual ERP/CRM/HRIS/contract data.</t>
      </text>
    </comment>
    <comment ref="C32" authorId="0" shapeId="0">
      <text>
        <t>Source: Demo assumption for template use only. Replace with actual ERP/CRM/HRIS/contract data.</t>
      </text>
    </comment>
    <comment ref="D32" authorId="0" shapeId="0">
      <text>
        <t>Source: Demo assumption for template use only. Replace with actual ERP/CRM/HRIS/contract data.</t>
      </text>
    </comment>
    <comment ref="E32" authorId="0" shapeId="0">
      <text>
        <t>Source: Demo assumption for template use only. Replace with actual ERP/CRM/HRIS/contract data.</t>
      </text>
    </comment>
    <comment ref="C33" authorId="0" shapeId="0">
      <text>
        <t>Source: Demo assumption for template use only. Replace with actual ERP/CRM/HRIS/contract data.</t>
      </text>
    </comment>
    <comment ref="D33" authorId="0" shapeId="0">
      <text>
        <t>Source: Demo assumption for template use only. Replace with actual ERP/CRM/HRIS/contract data.</t>
      </text>
    </comment>
    <comment ref="E33" authorId="0" shapeId="0">
      <text>
        <t>Source: Demo assumption for template use only. Replace with actual ERP/CRM/HRIS/contract data.</t>
      </text>
    </comment>
    <comment ref="C34" authorId="0" shapeId="0">
      <text>
        <t>Source: Demo assumption for template use only. Replace with actual ERP/CRM/HRIS/contract data.</t>
      </text>
    </comment>
    <comment ref="D34" authorId="0" shapeId="0">
      <text>
        <t>Source: Demo assumption for template use only. Replace with actual ERP/CRM/HRIS/contract data.</t>
      </text>
    </comment>
    <comment ref="E34" authorId="0" shapeId="0">
      <text>
        <t>Source: Demo assumption for template use only. Replace with actual ERP/CRM/HRIS/contract data.</t>
      </text>
    </comment>
    <comment ref="C35" authorId="0" shapeId="0">
      <text>
        <t>Source: Demo assumption for template use only. Replace with actual ERP/CRM/HRIS/contract data.</t>
      </text>
    </comment>
    <comment ref="D35" authorId="0" shapeId="0">
      <text>
        <t>Source: Demo assumption for template use only. Replace with actual ERP/CRM/HRIS/contract data.</t>
      </text>
    </comment>
    <comment ref="E35" authorId="0" shapeId="0">
      <text>
        <t>Source: Demo assumption for template use only. Replace with actual ERP/CRM/HRIS/contract data.</t>
      </text>
    </comment>
    <comment ref="C36" authorId="0" shapeId="0">
      <text>
        <t>Source: Demo assumption for template use only. Replace with actual ERP/CRM/HRIS/contract data.</t>
      </text>
    </comment>
    <comment ref="D36" authorId="0" shapeId="0">
      <text>
        <t>Source: Demo assumption for template use only. Replace with actual ERP/CRM/HRIS/contract data.</t>
      </text>
    </comment>
    <comment ref="E36" authorId="0" shapeId="0">
      <text>
        <t>Source: Demo assumption for template use only. Replace with actual ERP/CRM/HRIS/contract data.</t>
      </text>
    </comment>
    <comment ref="C37" authorId="0" shapeId="0">
      <text>
        <t>Source: Demo assumption for template use only. Replace with actual ERP/CRM/HRIS/contract data.</t>
      </text>
    </comment>
    <comment ref="D37" authorId="0" shapeId="0">
      <text>
        <t>Source: Demo assumption for template use only. Replace with actual ERP/CRM/HRIS/contract data.</t>
      </text>
    </comment>
    <comment ref="E37" authorId="0" shapeId="0">
      <text>
        <t>Source: Demo assumption for template use only. Replace with actual ERP/CRM/HRIS/contract data.</t>
      </text>
    </comment>
    <comment ref="C38" authorId="0" shapeId="0">
      <text>
        <t>Source: Demo assumption for template use only. Replace with actual ERP/CRM/HRIS/contract data.</t>
      </text>
    </comment>
    <comment ref="D38" authorId="0" shapeId="0">
      <text>
        <t>Source: Demo assumption for template use only. Replace with actual ERP/CRM/HRIS/contract data.</t>
      </text>
    </comment>
    <comment ref="E38" authorId="0" shapeId="0">
      <text>
        <t>Source: Demo assumption for template use only. Replace with actual ERP/CRM/HRIS/contract data.</t>
      </text>
    </comment>
    <comment ref="C39" authorId="0" shapeId="0">
      <text>
        <t>Source: Demo assumption for template use only. Replace with actual ERP/CRM/HRIS/contract data.</t>
      </text>
    </comment>
    <comment ref="D39" authorId="0" shapeId="0">
      <text>
        <t>Source: Demo assumption for template use only. Replace with actual ERP/CRM/HRIS/contract data.</t>
      </text>
    </comment>
    <comment ref="E39" authorId="0" shapeId="0">
      <text>
        <t>Source: Demo assumption for template use only. Replace with actual ERP/CRM/HRIS/contract data.</t>
      </text>
    </comment>
    <comment ref="C40" authorId="0" shapeId="0">
      <text>
        <t>Source: Demo assumption for template use only. Replace with actual ERP/CRM/HRIS/contract data.</t>
      </text>
    </comment>
    <comment ref="D40" authorId="0" shapeId="0">
      <text>
        <t>Source: Demo assumption for template use only. Replace with actual ERP/CRM/HRIS/contract data.</t>
      </text>
    </comment>
    <comment ref="E40" authorId="0" shapeId="0">
      <text>
        <t>Source: Demo assumption for template use only. Replace with actual ERP/CRM/HRIS/contract data.</t>
      </text>
    </comment>
    <comment ref="C41" authorId="0" shapeId="0">
      <text>
        <t>Source: Demo assumption for template use only. Replace with actual ERP/CRM/HRIS/contract data.</t>
      </text>
    </comment>
    <comment ref="D41" authorId="0" shapeId="0">
      <text>
        <t>Source: Demo assumption for template use only. Replace with actual ERP/CRM/HRIS/contract data.</t>
      </text>
    </comment>
    <comment ref="E41" authorId="0" shapeId="0">
      <text>
        <t>Source: Demo assumption for template use only. Replace with actual ERP/CRM/HRIS/contract data.</t>
      </text>
    </comment>
    <comment ref="C42" authorId="0" shapeId="0">
      <text>
        <t>Source: Demo assumption for template use only. Replace with actual ERP/CRM/HRIS/contract data.</t>
      </text>
    </comment>
    <comment ref="D42" authorId="0" shapeId="0">
      <text>
        <t>Source: Demo assumption for template use only. Replace with actual ERP/CRM/HRIS/contract data.</t>
      </text>
    </comment>
    <comment ref="E42" authorId="0" shapeId="0">
      <text>
        <t>Source: Demo assumption for template use only. Replace with actual ERP/CRM/HRIS/contract data.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zoomScaleNormal="100" workbookViewId="0">
      <selection activeCell="A1" sqref="A1"/>
    </sheetView>
  </sheetViews>
  <sheetFormatPr baseColWidth="8" defaultColWidth="8.7109375" defaultRowHeight="12.75"/>
  <cols>
    <col width="5" customWidth="1" style="10" min="1" max="1"/>
    <col width="24" customWidth="1" style="10" min="2" max="2"/>
    <col width="46" customWidth="1" style="10" min="3" max="3"/>
    <col width="42" customWidth="1" style="10" min="4" max="4"/>
    <col width="36" customWidth="1" style="10" min="5" max="5"/>
  </cols>
  <sheetData>
    <row r="1" ht="24" customHeight="1" s="10">
      <c r="A1" s="15" t="n"/>
      <c r="B1" s="16" t="inlineStr">
        <is>
          <t>FP&amp;A Demo Project for Upwork</t>
        </is>
      </c>
      <c r="C1" s="15" t="n"/>
      <c r="D1" s="15" t="n"/>
      <c r="E1" s="15" t="n"/>
    </row>
    <row r="2" ht="30" customHeight="1" s="10">
      <c r="A2" s="17" t="inlineStr">
        <is>
          <t>Sample SaaS model template: 24-month forecast, 3 financial statements, dashboard, and quality checks.</t>
        </is>
      </c>
      <c r="B2" s="15" t="n"/>
      <c r="C2" s="15" t="n"/>
      <c r="D2" s="15" t="n"/>
      <c r="E2" s="15" t="n"/>
    </row>
    <row r="3" ht="18" customHeight="1" s="10">
      <c r="A3" s="15" t="n"/>
      <c r="B3" s="15" t="n"/>
      <c r="C3" s="15" t="n"/>
      <c r="D3" s="15" t="n"/>
      <c r="E3" s="15" t="n"/>
    </row>
    <row r="4" ht="18" customHeight="1" s="10">
      <c r="A4" s="18" t="n"/>
      <c r="B4" s="14" t="inlineStr">
        <is>
          <t>1) Quick Start Guide</t>
        </is>
      </c>
      <c r="C4" s="145" t="n"/>
      <c r="D4" s="145" t="n"/>
      <c r="E4" s="145" t="n"/>
    </row>
    <row r="5" ht="30" customHeight="1" s="10">
      <c r="A5" s="18" t="n"/>
      <c r="B5" s="19" t="inlineStr">
        <is>
          <t>Select Scenario</t>
        </is>
      </c>
      <c r="C5" s="20" t="inlineStr">
        <is>
          <t>Data_Entry!B5: Base / Upside / Downside</t>
        </is>
      </c>
      <c r="D5" s="19" t="inlineStr">
        <is>
          <t>Use this to switch growth, churn, and margin assumptions</t>
        </is>
      </c>
      <c r="E5" s="20" t="inlineStr">
        <is>
          <t>Start from the Data_Entry sheet</t>
        </is>
      </c>
    </row>
    <row r="6" ht="30" customHeight="1" s="10">
      <c r="A6" s="18" t="n"/>
      <c r="B6" s="21" t="inlineStr">
        <is>
          <t>Update Input Data</t>
        </is>
      </c>
      <c r="C6" s="20" t="inlineStr">
        <is>
          <t>Yellow cells on Data_Entry</t>
        </is>
      </c>
      <c r="D6" s="21" t="inlineStr">
        <is>
          <t>These are editable input cells</t>
        </is>
      </c>
      <c r="E6" s="20" t="inlineStr">
        <is>
          <t>Data_Entry only</t>
        </is>
      </c>
    </row>
    <row r="7" ht="30" customHeight="1" s="10">
      <c r="A7" s="18" t="n"/>
      <c r="B7" s="19" t="inlineStr">
        <is>
          <t>Review Output</t>
        </is>
      </c>
      <c r="C7" s="21" t="inlineStr">
        <is>
          <t>IS / CF / BS / Dashboard / Checks</t>
        </is>
      </c>
      <c r="D7" s="21" t="inlineStr">
        <is>
          <t>Review the impact on EBITDA, cash, and headcount</t>
        </is>
      </c>
      <c r="E7" s="21" t="inlineStr">
        <is>
          <t>Share screenshots with the client</t>
        </is>
      </c>
    </row>
    <row r="8" ht="18" customHeight="1" s="10">
      <c r="A8" s="18" t="n"/>
    </row>
    <row r="9" ht="18" customHeight="1" s="10">
      <c r="A9" s="18" t="n"/>
    </row>
    <row r="10" ht="18" customHeight="1" s="10">
      <c r="A10" s="18" t="n"/>
      <c r="B10" s="14" t="inlineStr">
        <is>
          <t>2) FP&amp;A Workflow from A to Z</t>
        </is>
      </c>
      <c r="C10" s="145" t="n"/>
      <c r="D10" s="145" t="n"/>
      <c r="E10" s="145" t="n"/>
    </row>
    <row r="11" ht="18" customHeight="1" s="10">
      <c r="A11" s="18" t="n"/>
      <c r="B11" s="22" t="inlineStr">
        <is>
          <t>Step</t>
        </is>
      </c>
      <c r="C11" s="22" t="inlineStr">
        <is>
          <t>What to do</t>
        </is>
      </c>
      <c r="D11" s="22" t="inlineStr">
        <is>
          <t>Deliverable</t>
        </is>
      </c>
    </row>
    <row r="12" ht="30" customHeight="1" s="10">
      <c r="A12" s="18" t="n"/>
      <c r="B12" s="21" t="inlineStr">
        <is>
          <t>A. Scope &amp; Objectives</t>
        </is>
      </c>
      <c r="C12" s="21" t="inlineStr">
        <is>
          <t>Define the required model scope: budget, forecast, 3-statement model, cash runway, dashboard, and scenario planning.</t>
        </is>
      </c>
      <c r="D12" s="21" t="inlineStr">
        <is>
          <t>Project brief / SOW</t>
        </is>
      </c>
    </row>
    <row r="13" ht="30" customHeight="1" s="10">
      <c r="A13" s="18" t="n"/>
      <c r="B13" s="21" t="inlineStr">
        <is>
          <t>B. Data request</t>
        </is>
      </c>
      <c r="C13" s="21" t="inlineStr">
        <is>
          <t>Request the trial balance / historical P&amp;L, payroll, sales pipeline, contracts, capex, debt, and working capital data.</t>
        </is>
      </c>
      <c r="D13" s="21" t="inlineStr">
        <is>
          <t>Data request list</t>
        </is>
      </c>
    </row>
    <row r="14" ht="30" customHeight="1" s="10">
      <c r="A14" s="18" t="n"/>
      <c r="B14" s="21" t="inlineStr">
        <is>
          <t>C. Standardize Actuals</t>
        </is>
      </c>
      <c r="C14" s="21" t="inlineStr">
        <is>
          <t>Clean the chart of accounts, map revenue / COGS / Opex, and resolve missing data.</t>
        </is>
      </c>
      <c r="D14" s="21" t="inlineStr">
        <is>
          <t>Clean actuals</t>
        </is>
      </c>
    </row>
    <row r="15" ht="30" customHeight="1" s="10">
      <c r="A15" s="18" t="n"/>
      <c r="B15" s="21" t="inlineStr">
        <is>
          <t>D. Define Drivers</t>
        </is>
      </c>
      <c r="C15" s="21" t="inlineStr">
        <is>
          <t>Select key business drivers: customers, ARPU, churn, headcount, marketing %, DSO, DPO, and capex.</t>
        </is>
      </c>
      <c r="D15" s="21" t="inlineStr">
        <is>
          <t>Assumption tree</t>
        </is>
      </c>
    </row>
    <row r="16" ht="30" customHeight="1" s="10">
      <c r="A16" s="18" t="n"/>
      <c r="B16" s="21" t="inlineStr">
        <is>
          <t>E. Build schedules</t>
        </is>
      </c>
      <c r="C16" s="21" t="inlineStr">
        <is>
          <t>Revenue, headcount, opex, capex, working capital, debt schedule.</t>
        </is>
      </c>
      <c r="D16" s="21" t="inlineStr">
        <is>
          <t>Supporting schedules</t>
        </is>
      </c>
    </row>
    <row r="17" ht="30" customHeight="1" s="10">
      <c r="A17" s="18" t="n"/>
      <c r="B17" s="21" t="inlineStr">
        <is>
          <t>F. 3 financial statements</t>
        </is>
      </c>
      <c r="C17" s="21" t="inlineStr">
        <is>
          <t>Link the Income Statement, Cash Flow Statement, and Balance Sheet.</t>
        </is>
      </c>
      <c r="D17" s="21" t="inlineStr">
        <is>
          <t>Integrated model</t>
        </is>
      </c>
    </row>
    <row r="18" ht="30" customHeight="1" s="10">
      <c r="A18" s="18" t="n"/>
      <c r="B18" s="21" t="inlineStr">
        <is>
          <t>G. Scenarios</t>
        </is>
      </c>
      <c r="C18" s="21" t="inlineStr">
        <is>
          <t>Build Base / Upside / Downside cases and sensitivities.</t>
        </is>
      </c>
      <c r="D18" s="21" t="inlineStr">
        <is>
          <t>Scenario model</t>
        </is>
      </c>
    </row>
    <row r="19" ht="30" customHeight="1" s="10">
      <c r="A19" s="18" t="n"/>
      <c r="B19" s="21" t="inlineStr">
        <is>
          <t>H. Dashboard &amp; KPIs</t>
        </is>
      </c>
      <c r="C19" s="21" t="inlineStr">
        <is>
          <t>Revenue growth, gross margin, EBITDA, cash runway, ending customers, ending headcount.</t>
        </is>
      </c>
      <c r="D19" s="21" t="inlineStr">
        <is>
          <t>Client dashboard</t>
        </is>
      </c>
    </row>
    <row r="20" ht="30" customHeight="1" s="10">
      <c r="A20" s="18" t="n"/>
      <c r="B20" s="21" t="inlineStr">
        <is>
          <t>I. QA &amp; handoff</t>
        </is>
      </c>
      <c r="C20" s="21" t="inlineStr">
        <is>
          <t>Prepare QA checks, documentation, user instructions, and optionally a video walkthrough or PDF snapshot.</t>
        </is>
      </c>
      <c r="D20" s="21" t="inlineStr">
        <is>
          <t>Final deliverables</t>
        </is>
      </c>
    </row>
    <row r="21" ht="18" customHeight="1" s="10">
      <c r="A21" s="18" t="n"/>
    </row>
    <row r="22" ht="18" customHeight="1" s="10">
      <c r="A22" s="18" t="n"/>
    </row>
    <row r="23" ht="18" customHeight="1" s="10">
      <c r="A23" s="18" t="n"/>
      <c r="B23" s="14" t="inlineStr">
        <is>
          <t>3) Suggested Deliverables for Upwork</t>
        </is>
      </c>
      <c r="C23" s="145" t="n"/>
      <c r="D23" s="145" t="n"/>
      <c r="E23" s="145" t="n"/>
    </row>
    <row r="24" ht="21.75" customHeight="1" s="10">
      <c r="A24" s="18" t="n"/>
      <c r="B24" s="22" t="inlineStr">
        <is>
          <t>Item</t>
        </is>
      </c>
      <c r="C24" s="22" t="inlineStr">
        <is>
          <t>Description</t>
        </is>
      </c>
    </row>
    <row r="25" ht="30" customHeight="1" s="10">
      <c r="A25" s="18" t="n"/>
      <c r="B25" s="21" t="inlineStr">
        <is>
          <t>Model file</t>
        </is>
      </c>
      <c r="C25" s="21" t="inlineStr">
        <is>
          <t>Workbook with Control / Assumptions / Schedules / 3 statements / Dashboard / Checks</t>
        </is>
      </c>
    </row>
    <row r="26" ht="30" customHeight="1" s="10">
      <c r="A26" s="18" t="n"/>
      <c r="B26" s="21" t="inlineStr">
        <is>
          <t>Executive summary</t>
        </is>
      </c>
      <c r="C26" s="21" t="inlineStr">
        <is>
          <t>One-page summary of insights: growth, margin, burn, cash needs, and hiring plan</t>
        </is>
      </c>
    </row>
    <row r="27" ht="30" customHeight="1" s="10">
      <c r="A27" s="18" t="n"/>
      <c r="B27" s="21" t="inlineStr">
        <is>
          <t>Scenario analysis</t>
        </is>
      </c>
      <c r="C27" s="21" t="inlineStr">
        <is>
          <t>Base vs Upside vs Downside, with sensitivity analysis for revenue and cash</t>
        </is>
      </c>
    </row>
    <row r="28" ht="30" customHeight="1" s="10">
      <c r="A28" s="18" t="n"/>
      <c r="B28" s="21" t="inlineStr">
        <is>
          <t>Client handoff</t>
        </is>
      </c>
      <c r="C28" s="21" t="inlineStr">
        <is>
          <t>README + color legend for inputs/formulas/links + monthly update instructions</t>
        </is>
      </c>
    </row>
    <row r="29" ht="18" customHeight="1" s="10">
      <c r="B29" s="21" t="inlineStr">
        <is>
          <t>Client request list</t>
        </is>
      </c>
      <c r="C29" s="21" t="inlineStr">
        <is>
          <t>Tracker for dependencies, open items, due dates, and delivery status during the engagement</t>
        </is>
      </c>
    </row>
    <row r="30" ht="18" customHeight="1" s="10">
      <c r="B30" s="21" t="inlineStr">
        <is>
          <t>Assumption log</t>
        </is>
      </c>
      <c r="C30" s="21" t="inlineStr">
        <is>
          <t>Audit-style register of key model drivers linked to Data_Entry for client review and sign-off</t>
        </is>
      </c>
    </row>
    <row r="31" ht="18" customHeight="1" s="10">
      <c r="B31" s="21" t="inlineStr">
        <is>
          <t>Executive summary</t>
        </is>
      </c>
      <c r="C31" s="21" t="inlineStr">
        <is>
          <t>One-page summary linked to selected scenario and annual KPI outputs for handoff or proposal screenshots</t>
        </is>
      </c>
    </row>
    <row r="32" ht="18" customHeight="1" s="10"/>
    <row r="33" ht="18" customHeight="1" s="10"/>
    <row r="34" ht="18" customHeight="1" s="10"/>
    <row r="35" ht="18" customHeight="1" s="10"/>
    <row r="36" ht="18" customHeight="1" s="10"/>
    <row r="37" ht="18" customHeight="1" s="10"/>
    <row r="38" ht="18" customHeight="1" s="10"/>
    <row r="39" ht="18" customHeight="1" s="10"/>
    <row r="40" ht="18" customHeight="1" s="10"/>
    <row r="41" ht="18" customHeight="1" s="10"/>
    <row r="42" ht="18" customHeight="1" s="10"/>
    <row r="43" ht="18" customHeight="1" s="10"/>
    <row r="44" ht="18" customHeight="1" s="10"/>
    <row r="45" ht="18" customHeight="1" s="10"/>
    <row r="46" ht="18" customHeight="1" s="10"/>
    <row r="47" ht="18" customHeight="1" s="10"/>
    <row r="48" ht="18" customHeight="1" s="10"/>
    <row r="49" ht="18" customHeight="1" s="10"/>
    <row r="50" ht="18" customHeight="1" s="10"/>
    <row r="51" ht="18" customHeight="1" s="10"/>
    <row r="52" ht="18" customHeight="1" s="10"/>
    <row r="53" ht="18" customHeight="1" s="10"/>
    <row r="54" ht="18" customHeight="1" s="10"/>
    <row r="55" ht="18" customHeight="1" s="10"/>
    <row r="56" ht="18" customHeight="1" s="10"/>
    <row r="57" ht="18" customHeight="1" s="10"/>
    <row r="58" ht="18" customHeight="1" s="10"/>
    <row r="59" ht="18" customHeight="1" s="10"/>
    <row r="60" ht="18" customHeight="1" s="10"/>
    <row r="61" ht="18" customHeight="1" s="10"/>
    <row r="62" ht="18" customHeight="1" s="10"/>
    <row r="63" ht="18" customHeight="1" s="10"/>
    <row r="64" ht="18" customHeight="1" s="10"/>
    <row r="65" ht="18" customHeight="1" s="10"/>
    <row r="66" ht="18" customHeight="1" s="10"/>
    <row r="67" ht="18" customHeight="1" s="10"/>
    <row r="68" ht="18" customHeight="1" s="10"/>
    <row r="69" ht="18" customHeight="1" s="10"/>
    <row r="70" ht="18" customHeight="1" s="10"/>
    <row r="71" ht="18" customHeight="1" s="10"/>
    <row r="72" ht="18" customHeight="1" s="10"/>
    <row r="73" ht="18" customHeight="1" s="10"/>
    <row r="74" ht="18" customHeight="1" s="10"/>
    <row r="75" ht="18" customHeight="1" s="10"/>
    <row r="76" ht="18" customHeight="1" s="10"/>
    <row r="77" ht="18" customHeight="1" s="10"/>
    <row r="78" ht="18" customHeight="1" s="10"/>
    <row r="79" ht="18" customHeight="1" s="10"/>
  </sheetData>
  <mergeCells count="3">
    <mergeCell ref="B10:E10"/>
    <mergeCell ref="B23:E23"/>
    <mergeCell ref="B4:E4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topLeftCell="A25" zoomScaleNormal="100" workbookViewId="0">
      <selection activeCell="B47" sqref="B47"/>
    </sheetView>
  </sheetViews>
  <sheetFormatPr baseColWidth="8" defaultColWidth="8.7109375" defaultRowHeight="12.75"/>
  <cols>
    <col width="38" customWidth="1" style="10" min="1" max="1"/>
    <col width="22" customWidth="1" style="10" min="2" max="2"/>
    <col width="65" customWidth="1" style="10" min="3" max="3"/>
  </cols>
  <sheetData>
    <row r="1" ht="15" customHeight="1" s="10">
      <c r="A1" s="23" t="inlineStr">
        <is>
          <t>HubSpot (HUBS) — FP&amp;A Model Assumptions &amp; Sources</t>
        </is>
      </c>
    </row>
    <row r="2" ht="15" customHeight="1" s="10">
      <c r="A2" s="24" t="inlineStr">
        <is>
          <t>All figures in USD. Data sourced from public SEC filings.</t>
        </is>
      </c>
    </row>
    <row r="3" ht="15" customHeight="1" s="10">
      <c r="A3" s="24" t="n"/>
    </row>
    <row r="4" ht="15" customHeight="1" s="10">
      <c r="A4" s="25" t="inlineStr">
        <is>
          <t>Input</t>
        </is>
      </c>
      <c r="B4" s="25" t="inlineStr">
        <is>
          <t>Value Used</t>
        </is>
      </c>
      <c r="C4" s="25" t="inlineStr">
        <is>
          <t>Source / Notes</t>
        </is>
      </c>
    </row>
    <row r="5" ht="15" customHeight="1" s="10">
      <c r="A5" s="24" t="inlineStr">
        <is>
          <t>Model Start Date</t>
        </is>
      </c>
      <c r="B5" s="26" t="inlineStr">
        <is>
          <t>Jan 1, 2024</t>
        </is>
      </c>
      <c r="C5" s="27" t="inlineStr">
        <is>
          <t>HubSpot FY2024 model — 24-month forecast from Jan 2024</t>
        </is>
      </c>
    </row>
    <row r="6" ht="15" customHeight="1" s="10">
      <c r="A6" s="24" t="inlineStr">
        <is>
          <t>Initial Cash</t>
        </is>
      </c>
      <c r="B6" s="26" t="inlineStr">
        <is>
          <t>$1,388M</t>
        </is>
      </c>
      <c r="C6" s="27" t="inlineStr">
        <is>
          <t>Cash $388M + ST Investments $1,000M — HubSpot 10-K Dec 31 2023</t>
        </is>
      </c>
    </row>
    <row r="7" ht="15" customHeight="1" s="10">
      <c r="A7" s="24" t="inlineStr">
        <is>
          <t>Initial AR</t>
        </is>
      </c>
      <c r="B7" s="26" t="inlineStr">
        <is>
          <t>$295M</t>
        </is>
      </c>
      <c r="C7" s="27" t="inlineStr">
        <is>
          <t>Accounts receivable net — HubSpot 10-K Dec 31 2023</t>
        </is>
      </c>
    </row>
    <row r="8" ht="15" customHeight="1" s="10">
      <c r="A8" s="24" t="inlineStr">
        <is>
          <t>Initial Net PP&amp;E</t>
        </is>
      </c>
      <c r="B8" s="26" t="inlineStr">
        <is>
          <t>$240M</t>
        </is>
      </c>
      <c r="C8" s="27" t="inlineStr">
        <is>
          <t>Estimated from total assets composition — HubSpot 10-K 2023</t>
        </is>
      </c>
    </row>
    <row r="9" ht="15" customHeight="1" s="10">
      <c r="A9" s="24" t="inlineStr">
        <is>
          <t>Initial AP</t>
        </is>
      </c>
      <c r="B9" s="26" t="inlineStr">
        <is>
          <t>$9.1M</t>
        </is>
      </c>
      <c r="C9" s="27" t="inlineStr">
        <is>
          <t>Accounts payable — HubSpot 10-K Dec 31 2023 (very low, asset-light SaaS)</t>
        </is>
      </c>
    </row>
    <row r="10" ht="15" customHeight="1" s="10">
      <c r="A10" s="24" t="inlineStr">
        <is>
          <t>Initial Debt</t>
        </is>
      </c>
      <c r="B10" s="26" t="inlineStr">
        <is>
          <t>$456M</t>
        </is>
      </c>
      <c r="C10" s="27" t="inlineStr">
        <is>
          <t>Convertible senior notes — HubSpot 10-K Dec 31 2023</t>
        </is>
      </c>
    </row>
    <row r="11" ht="15" customHeight="1" s="10">
      <c r="A11" s="24" t="inlineStr">
        <is>
          <t>Share Capital (APIC)</t>
        </is>
      </c>
      <c r="B11" s="26" t="inlineStr">
        <is>
          <t>$2,137M</t>
        </is>
      </c>
      <c r="C11" s="27" t="inlineStr">
        <is>
          <t>Additional paid-in capital — HubSpot 10-K Dec 31 2023</t>
        </is>
      </c>
    </row>
    <row r="12" ht="15" customHeight="1" s="10">
      <c r="A12" s="24" t="inlineStr">
        <is>
          <t>Opening Retained Earnings</t>
        </is>
      </c>
      <c r="B12" s="26" t="inlineStr">
        <is>
          <t>-$818.7M</t>
        </is>
      </c>
      <c r="C12" s="27" t="inlineStr">
        <is>
          <t>Accumulated deficit — HubSpot 10-K Dec 31 2023</t>
        </is>
      </c>
    </row>
    <row r="13" ht="15" customHeight="1" s="10">
      <c r="A13" s="24" t="inlineStr">
        <is>
          <t>Beginning Customers</t>
        </is>
      </c>
      <c r="B13" s="26" t="inlineStr">
        <is>
          <t>205,091</t>
        </is>
      </c>
      <c r="C13" s="27" t="inlineStr">
        <is>
          <t>HubSpot Q4 2023 Earnings Release (8-K Feb 2024)</t>
        </is>
      </c>
    </row>
    <row r="14" ht="15" customHeight="1" s="10">
      <c r="A14" s="24" t="inlineStr">
        <is>
          <t>Monthly New Customers (Base)</t>
        </is>
      </c>
      <c r="B14" s="26" t="inlineStr">
        <is>
          <t>3,800</t>
        </is>
      </c>
      <c r="C14" s="27" t="inlineStr">
        <is>
          <t>Net adds 2024: 42,848 ÷ 12 = 3,571. Gross adds est. +6% for churn offset</t>
        </is>
      </c>
    </row>
    <row r="15" ht="15" customHeight="1" s="10">
      <c r="A15" s="24" t="inlineStr">
        <is>
          <t>Monthly Churn % (Base)</t>
        </is>
      </c>
      <c r="B15" s="26" t="inlineStr">
        <is>
          <t>1.5%</t>
        </is>
      </c>
      <c r="C15" s="27" t="inlineStr">
        <is>
          <t>Estimated from NRR 104% (Q4 2024). Gross churn ~1.5%/mo for SMB mix</t>
        </is>
      </c>
    </row>
    <row r="16" ht="15" customHeight="1" s="10">
      <c r="A16" s="24" t="inlineStr">
        <is>
          <t>Starting ARPU (monthly)</t>
        </is>
      </c>
      <c r="B16" s="26" t="inlineStr">
        <is>
          <t>$947</t>
        </is>
      </c>
      <c r="C16" s="27" t="inlineStr">
        <is>
          <t>Q4 2023 avg subscription rev/customer $11,365/yr ÷ 12 — HubSpot 8-K</t>
        </is>
      </c>
    </row>
    <row r="17" ht="15" customHeight="1" s="10">
      <c r="A17" s="24" t="inlineStr">
        <is>
          <t>Annual Price Uplift %</t>
        </is>
      </c>
      <c r="B17" s="26" t="inlineStr">
        <is>
          <t>2% Base</t>
        </is>
      </c>
      <c r="C17" s="27" t="inlineStr">
        <is>
          <t>ARPU flat 2023→2024 (-0.5%). Base assumes modest 2% seat-based growth</t>
        </is>
      </c>
    </row>
    <row r="18" ht="15" customHeight="1" s="10">
      <c r="A18" s="24" t="inlineStr">
        <is>
          <t>Implementation Fee</t>
        </is>
      </c>
      <c r="B18" s="26" t="inlineStr">
        <is>
          <t>$3,000</t>
        </is>
      </c>
      <c r="C18" s="27" t="inlineStr">
        <is>
          <t>Estimated average onboarding fee for SMB/mid-market customers</t>
        </is>
      </c>
    </row>
    <row r="19" ht="15" customHeight="1" s="10">
      <c r="A19" s="24" t="inlineStr">
        <is>
          <t>COGS % Revenue</t>
        </is>
      </c>
      <c r="B19" s="26" t="inlineStr">
        <is>
          <t>13.9%</t>
        </is>
      </c>
      <c r="C19" s="27" t="inlineStr">
        <is>
          <t>FY2024: Total COGS $364M / Revenue $2,628M. HubSpot 8-K Feb 2025</t>
        </is>
      </c>
    </row>
    <row r="20" ht="15" customHeight="1" s="10">
      <c r="A20" s="24" t="inlineStr">
        <is>
          <t>Benefits % Payroll</t>
        </is>
      </c>
      <c r="B20" s="26" t="inlineStr">
        <is>
          <t>20%</t>
        </is>
      </c>
      <c r="C20" s="27" t="inlineStr">
        <is>
          <t>Industry estimate for US-based tech company with full benefits</t>
        </is>
      </c>
    </row>
    <row r="21" ht="15" customHeight="1" s="10">
      <c r="A21" s="24" t="inlineStr">
        <is>
          <t>Tax Rate</t>
        </is>
      </c>
      <c r="B21" s="26" t="inlineStr">
        <is>
          <t>21%</t>
        </is>
      </c>
      <c r="C21" s="27" t="inlineStr">
        <is>
          <t>Effective planning rate — HubSpot minimal GAAP taxes due to losses/NOLs</t>
        </is>
      </c>
    </row>
    <row r="22" ht="15" customHeight="1" s="10">
      <c r="A22" s="24" t="inlineStr">
        <is>
          <t>DSO</t>
        </is>
      </c>
      <c r="B22" s="26" t="inlineStr">
        <is>
          <t>50 days</t>
        </is>
      </c>
      <c r="C22" s="27" t="inlineStr">
        <is>
          <t>AR $295M / (Revenue $2,170M / 365) = ~49.6 days. HubSpot 10-K 2023</t>
        </is>
      </c>
    </row>
    <row r="23" ht="15" customHeight="1" s="10">
      <c r="A23" s="24" t="inlineStr">
        <is>
          <t>DPO</t>
        </is>
      </c>
      <c r="B23" s="26" t="inlineStr">
        <is>
          <t>15 days</t>
        </is>
      </c>
      <c r="C23" s="27" t="inlineStr">
        <is>
          <t>AP $9.1M — very low, HubSpot pays vendors quickly</t>
        </is>
      </c>
    </row>
    <row r="24" ht="15" customHeight="1" s="10">
      <c r="A24" s="24" t="inlineStr">
        <is>
          <t>Interest Rate</t>
        </is>
      </c>
      <c r="B24" s="26" t="inlineStr">
        <is>
          <t>5%</t>
        </is>
      </c>
      <c r="C24" s="27" t="inlineStr">
        <is>
          <t>Convertible notes coupon 1.25% but model uses market proxy rate</t>
        </is>
      </c>
    </row>
    <row r="25" ht="15" customHeight="1" s="10">
      <c r="A25" s="24" t="inlineStr">
        <is>
          <t>Capex % Revenue</t>
        </is>
      </c>
      <c r="B25" s="26" t="inlineStr">
        <is>
          <t>4.2%</t>
        </is>
      </c>
      <c r="C25" s="27" t="inlineStr">
        <is>
          <t>FY2024 capex est. ~$110M / $2,628M revenue. HubSpot 10-K 2024</t>
        </is>
      </c>
    </row>
    <row r="26" ht="15" customHeight="1" s="10">
      <c r="A26" s="24" t="inlineStr">
        <is>
          <t>Opening Headcount (total)</t>
        </is>
      </c>
      <c r="B26" s="26" t="inlineStr">
        <is>
          <t>7,663</t>
        </is>
      </c>
      <c r="C26" s="27" t="inlineStr">
        <is>
          <t>FY2024 10-K: 7,663 employees as of Dec 31 2023</t>
        </is>
      </c>
    </row>
    <row r="27" ht="15" customHeight="1" s="10">
      <c r="A27" s="24" t="inlineStr">
        <is>
          <t xml:space="preserve">  Sales HC</t>
        </is>
      </c>
      <c r="B27" s="26" t="inlineStr">
        <is>
          <t>2,682 (35%)</t>
        </is>
      </c>
      <c r="C27" s="27" t="inlineStr">
        <is>
          <t>Estimated dept split — HubSpot is sales-heavy, ~35% of workforce</t>
        </is>
      </c>
    </row>
    <row r="28" ht="15" customHeight="1" s="10">
      <c r="A28" s="24" t="inlineStr">
        <is>
          <t xml:space="preserve">  R&amp;D HC</t>
        </is>
      </c>
      <c r="B28" s="26" t="inlineStr">
        <is>
          <t>2,299 (30%)</t>
        </is>
      </c>
      <c r="C28" s="27" t="inlineStr">
        <is>
          <t>Est. 30% — consistent with R&amp;D spend ~32% of revenue</t>
        </is>
      </c>
    </row>
    <row r="29" ht="15" customHeight="1" s="10">
      <c r="A29" s="24" t="inlineStr">
        <is>
          <t xml:space="preserve">  Marketing HC</t>
        </is>
      </c>
      <c r="B29" s="26" t="inlineStr">
        <is>
          <t>920 (12%)</t>
        </is>
      </c>
      <c r="C29" s="27" t="inlineStr">
        <is>
          <t>Est. 12% — field + digital marketing teams</t>
        </is>
      </c>
    </row>
    <row r="30" ht="15" customHeight="1" s="10">
      <c r="A30" s="24" t="inlineStr">
        <is>
          <t xml:space="preserve">  Customer Success HC</t>
        </is>
      </c>
      <c r="B30" s="26" t="inlineStr">
        <is>
          <t>996 (13%)</t>
        </is>
      </c>
      <c r="C30" s="27" t="inlineStr">
        <is>
          <t>Est. 13% — large CS org for SMB retention</t>
        </is>
      </c>
    </row>
    <row r="31" ht="15" customHeight="1" s="10">
      <c r="A31" s="24" t="inlineStr">
        <is>
          <t xml:space="preserve">  G&amp;A HC</t>
        </is>
      </c>
      <c r="B31" s="26" t="inlineStr">
        <is>
          <t>766 (10%)</t>
        </is>
      </c>
      <c r="C31" s="27" t="inlineStr">
        <is>
          <t>Est. 10% — Finance, Legal, HR, Admin</t>
        </is>
      </c>
    </row>
    <row r="32" ht="15" customHeight="1" s="10">
      <c r="A32" s="24" t="inlineStr">
        <is>
          <t>Sales Salary</t>
        </is>
      </c>
      <c r="B32" s="26" t="inlineStr">
        <is>
          <t>$85,000/yr</t>
        </is>
      </c>
      <c r="C32" s="27" t="inlineStr">
        <is>
          <t>Industry estimate for HubSpot AE/SDR average base — Cambridge MA</t>
        </is>
      </c>
    </row>
    <row r="33" ht="15" customHeight="1" s="10">
      <c r="A33" s="24" t="inlineStr">
        <is>
          <t>R&amp;D Salary</t>
        </is>
      </c>
      <c r="B33" s="26" t="inlineStr">
        <is>
          <t>$130,000/yr</t>
        </is>
      </c>
      <c r="C33" s="27" t="inlineStr">
        <is>
          <t>Software engineers — Boston/Dublin/Remote average</t>
        </is>
      </c>
    </row>
    <row r="34" ht="15" customHeight="1" s="10">
      <c r="A34" s="24" t="inlineStr">
        <is>
          <t>Marketing Salary</t>
        </is>
      </c>
      <c r="B34" s="26" t="inlineStr">
        <is>
          <t>$90,000/yr</t>
        </is>
      </c>
      <c r="C34" s="27" t="inlineStr">
        <is>
          <t>Marketing generalist to manager average</t>
        </is>
      </c>
    </row>
    <row r="35" ht="15" customHeight="1" s="10">
      <c r="A35" s="24" t="n"/>
    </row>
    <row r="36" ht="15" customHeight="1" s="10">
      <c r="A36" s="24" t="inlineStr">
        <is>
          <t>Key Disclosure</t>
        </is>
      </c>
    </row>
    <row r="37" ht="15" customHeight="1" s="10">
      <c r="A37" s="28" t="inlineStr">
        <is>
          <t>This model uses illustrative assumptions based on publicly available data.</t>
        </is>
      </c>
    </row>
    <row r="38" ht="15" customHeight="1" s="10">
      <c r="A38" s="29" t="inlineStr">
        <is>
          <t>Actual internal figures will differ. Suitable for portfolio / educational use only.</t>
        </is>
      </c>
    </row>
    <row r="39" ht="15" customHeight="1" s="10">
      <c r="A39" s="29" t="inlineStr">
        <is>
          <t>Sources: HubSpot SEC 8-K filings, 10-K 2023 &amp; 2024, ir.hubspot.com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0"/>
  <sheetViews>
    <sheetView showGridLines="0" topLeftCell="A3" zoomScaleNormal="100" workbookViewId="0">
      <selection activeCell="A23" sqref="A23"/>
    </sheetView>
  </sheetViews>
  <sheetFormatPr baseColWidth="8" defaultColWidth="8.7109375" defaultRowHeight="12.75"/>
  <cols>
    <col width="34" customWidth="1" style="10" min="1" max="1"/>
    <col width="11" customWidth="1" style="10" min="2" max="25"/>
  </cols>
  <sheetData>
    <row r="1" ht="24" customHeight="1" s="10">
      <c r="A1" s="13" t="inlineStr">
        <is>
          <t>Data Entry Hub</t>
        </is>
      </c>
    </row>
    <row r="2" ht="36" customHeight="1" s="10">
      <c r="A2" s="30" t="inlineStr">
        <is>
          <t>Update yellow cells only. All schedules, the 3 statements, dashboard, and checks update automatically.</t>
        </is>
      </c>
    </row>
    <row r="4" ht="15" customHeight="1" s="10">
      <c r="A4" s="31" t="inlineStr">
        <is>
          <t>1. Model Controls</t>
        </is>
      </c>
      <c r="B4" s="31" t="n"/>
      <c r="C4" s="31" t="n"/>
      <c r="D4" s="31" t="n"/>
      <c r="E4" s="31" t="n"/>
      <c r="F4" s="31" t="n"/>
      <c r="G4" s="31" t="n"/>
    </row>
    <row r="5" ht="15" customHeight="1" s="10">
      <c r="A5" s="20" t="inlineStr">
        <is>
          <t>Selected Scenario</t>
        </is>
      </c>
      <c r="B5" s="32" t="inlineStr">
        <is>
          <t>Base</t>
        </is>
      </c>
      <c r="C5" s="20" t="inlineStr">
        <is>
          <t>Choose Base / Upside / Downside here</t>
        </is>
      </c>
    </row>
    <row r="9" ht="15" customHeight="1" s="10">
      <c r="A9" s="33" t="inlineStr">
        <is>
          <t>2. Scenario Assumptions</t>
        </is>
      </c>
      <c r="B9" s="31" t="n"/>
      <c r="C9" s="31" t="n"/>
      <c r="D9" s="31" t="n"/>
      <c r="E9" s="31" t="n"/>
      <c r="F9" s="31" t="n"/>
      <c r="G9" s="31" t="n"/>
    </row>
    <row r="10" ht="15" customHeight="1" s="10">
      <c r="A10" s="34" t="inlineStr">
        <is>
          <t>Metric</t>
        </is>
      </c>
      <c r="B10" s="34" t="inlineStr">
        <is>
          <t>Base</t>
        </is>
      </c>
      <c r="C10" s="34" t="inlineStr">
        <is>
          <t>Upside</t>
        </is>
      </c>
      <c r="D10" s="34" t="inlineStr">
        <is>
          <t>Downside</t>
        </is>
      </c>
      <c r="E10" s="34" t="inlineStr">
        <is>
          <t>Selected</t>
        </is>
      </c>
      <c r="F10" s="34" t="inlineStr">
        <is>
          <t>Unit</t>
        </is>
      </c>
      <c r="G10" s="34" t="inlineStr">
        <is>
          <t>Notes</t>
        </is>
      </c>
    </row>
    <row r="11" ht="15" customHeight="1" s="10">
      <c r="A11" s="20" t="inlineStr">
        <is>
          <t>Model Start Date</t>
        </is>
      </c>
      <c r="B11" s="35" t="n">
        <v>45292</v>
      </c>
      <c r="C11" s="35" t="n">
        <v>45292</v>
      </c>
      <c r="D11" s="35" t="n">
        <v>45292</v>
      </c>
      <c r="E11" s="36">
        <f>IF($B$5="Upside",C11,IF($B$5="Downside",D11,B11))</f>
        <v/>
      </c>
      <c r="F11" s="20" t="inlineStr">
        <is>
          <t>date</t>
        </is>
      </c>
      <c r="G11" s="20" t="inlineStr">
        <is>
          <t>Timeline start for monthly forecast</t>
        </is>
      </c>
    </row>
    <row r="12" ht="15" customHeight="1" s="10">
      <c r="A12" s="20" t="inlineStr">
        <is>
          <t>Initial Cash</t>
        </is>
      </c>
      <c r="B12" s="37" t="n">
        <v>1388000000</v>
      </c>
      <c r="C12" s="37" t="n">
        <v>1388000000</v>
      </c>
      <c r="D12" s="37" t="n">
        <v>1388000000</v>
      </c>
      <c r="E12" s="38">
        <f>IF($B$5="Upside",C12,IF($B$5="Downside",D12,B12))</f>
        <v/>
      </c>
      <c r="F12" s="20" t="inlineStr">
        <is>
          <t>USD</t>
        </is>
      </c>
      <c r="G12" s="20" t="inlineStr">
        <is>
          <t>Opening cash on balance sheet</t>
        </is>
      </c>
    </row>
    <row r="13" ht="15" customHeight="1" s="10">
      <c r="A13" s="20" t="inlineStr">
        <is>
          <t>Initial AR</t>
        </is>
      </c>
      <c r="B13" s="37" t="n">
        <v>295303000</v>
      </c>
      <c r="C13" s="37" t="n">
        <v>295303000</v>
      </c>
      <c r="D13" s="37" t="n">
        <v>295303000</v>
      </c>
      <c r="E13" s="38">
        <f>IF($B$5="Upside",C13,IF($B$5="Downside",D13,B13))</f>
        <v/>
      </c>
      <c r="F13" s="20" t="inlineStr">
        <is>
          <t>USD</t>
        </is>
      </c>
      <c r="G13" s="20" t="inlineStr">
        <is>
          <t>Opening accounts receivable</t>
        </is>
      </c>
    </row>
    <row r="14" ht="15" customHeight="1" s="10">
      <c r="A14" s="20" t="inlineStr">
        <is>
          <t>Initial Net PP&amp;E</t>
        </is>
      </c>
      <c r="B14" s="37" t="n">
        <v>240000000</v>
      </c>
      <c r="C14" s="37" t="n">
        <v>240000000</v>
      </c>
      <c r="D14" s="37" t="n">
        <v>240000000</v>
      </c>
      <c r="E14" s="38">
        <f>IF($B$5="Upside",C14,IF($B$5="Downside",D14,B14))</f>
        <v/>
      </c>
      <c r="F14" s="20" t="inlineStr">
        <is>
          <t>USD</t>
        </is>
      </c>
      <c r="G14" s="20" t="inlineStr">
        <is>
          <t>Opening net fixed assets</t>
        </is>
      </c>
    </row>
    <row r="15" ht="15" customHeight="1" s="10">
      <c r="A15" s="20" t="inlineStr">
        <is>
          <t>Initial AP</t>
        </is>
      </c>
      <c r="B15" s="37" t="n">
        <v>9106000</v>
      </c>
      <c r="C15" s="37" t="n">
        <v>9106000</v>
      </c>
      <c r="D15" s="37" t="n">
        <v>9106000</v>
      </c>
      <c r="E15" s="38">
        <f>IF($B$5="Upside",C15,IF($B$5="Downside",D15,B15))</f>
        <v/>
      </c>
      <c r="F15" s="20" t="inlineStr">
        <is>
          <t>USD</t>
        </is>
      </c>
      <c r="G15" s="20" t="inlineStr">
        <is>
          <t>Opening accounts payable</t>
        </is>
      </c>
    </row>
    <row r="16" ht="15" customHeight="1" s="10">
      <c r="A16" s="20" t="inlineStr">
        <is>
          <t>Initial Debt</t>
        </is>
      </c>
      <c r="B16" s="37" t="n">
        <v>456206000</v>
      </c>
      <c r="C16" s="37" t="n">
        <v>456206000</v>
      </c>
      <c r="D16" s="37" t="n">
        <v>456206000</v>
      </c>
      <c r="E16" s="38">
        <f>IF($B$5="Upside",C16,IF($B$5="Downside",D16,B16))</f>
        <v/>
      </c>
      <c r="F16" s="20" t="inlineStr">
        <is>
          <t>USD</t>
        </is>
      </c>
      <c r="G16" s="20" t="inlineStr">
        <is>
          <t>Opening interest-bearing debt</t>
        </is>
      </c>
    </row>
    <row r="17" ht="15" customHeight="1" s="10">
      <c r="A17" s="20" t="inlineStr">
        <is>
          <t>Share Capital</t>
        </is>
      </c>
      <c r="B17" s="37" t="n">
        <v>2136908000</v>
      </c>
      <c r="C17" s="37" t="n">
        <v>2136908000</v>
      </c>
      <c r="D17" s="37" t="n">
        <v>2136908000</v>
      </c>
      <c r="E17" s="38">
        <f>IF($B$5="Upside",C17,IF($B$5="Downside",D17,B17))</f>
        <v/>
      </c>
      <c r="F17" s="20" t="inlineStr">
        <is>
          <t>USD</t>
        </is>
      </c>
      <c r="G17" s="20" t="inlineStr">
        <is>
          <t>Static equity capital</t>
        </is>
      </c>
    </row>
    <row r="18" ht="15" customHeight="1" s="10">
      <c r="A18" s="20" t="inlineStr">
        <is>
          <t>Opening Retained Earnings</t>
        </is>
      </c>
      <c r="B18" s="37" t="n">
        <v>-818676000</v>
      </c>
      <c r="C18" s="37" t="n">
        <v>-818676000</v>
      </c>
      <c r="D18" s="37" t="n">
        <v>-818676000</v>
      </c>
      <c r="E18" s="38">
        <f>IF($B$5="Upside",C18,IF($B$5="Downside",D18,B18))</f>
        <v/>
      </c>
      <c r="F18" s="20" t="inlineStr">
        <is>
          <t>USD</t>
        </is>
      </c>
      <c r="G18" s="20" t="inlineStr">
        <is>
          <t>Opening retained earnings</t>
        </is>
      </c>
    </row>
    <row r="19" ht="15" customHeight="1" s="10">
      <c r="A19" s="20" t="inlineStr">
        <is>
          <t>Beginning Customers</t>
        </is>
      </c>
      <c r="B19" s="39" t="n">
        <v>205091</v>
      </c>
      <c r="C19" s="39" t="n">
        <v>205091</v>
      </c>
      <c r="D19" s="39" t="n">
        <v>205091</v>
      </c>
      <c r="E19" s="40">
        <f>IF($B$5="Upside",C19,IF($B$5="Downside",D19,B19))</f>
        <v/>
      </c>
      <c r="F19" s="20" t="inlineStr">
        <is>
          <t>customers</t>
        </is>
      </c>
      <c r="G19" s="20" t="inlineStr">
        <is>
          <t>Opening subscriber count</t>
        </is>
      </c>
    </row>
    <row r="20" ht="15" customHeight="1" s="10">
      <c r="A20" s="20" t="inlineStr">
        <is>
          <t>Monthly New Customers</t>
        </is>
      </c>
      <c r="B20" s="39" t="n">
        <v>3800</v>
      </c>
      <c r="C20" s="39" t="n">
        <v>4200</v>
      </c>
      <c r="D20" s="39" t="n">
        <v>3200</v>
      </c>
      <c r="E20" s="40">
        <f>IF($B$5="Upside",C20,IF($B$5="Downside",D20,B20))</f>
        <v/>
      </c>
      <c r="F20" s="20" t="inlineStr">
        <is>
          <t>customers</t>
        </is>
      </c>
      <c r="G20" s="20" t="inlineStr">
        <is>
          <t>Average monthly gross adds</t>
        </is>
      </c>
    </row>
    <row r="21" ht="15" customHeight="1" s="10">
      <c r="A21" s="20" t="inlineStr">
        <is>
          <t>Monthly Churn %</t>
        </is>
      </c>
      <c r="B21" s="41" t="n">
        <v>0.015</v>
      </c>
      <c r="C21" s="41" t="n">
        <v>0.012</v>
      </c>
      <c r="D21" s="41" t="n">
        <v>0.02</v>
      </c>
      <c r="E21" s="42">
        <f>IF($B$5="Upside",C21,IF($B$5="Downside",D21,B21))</f>
        <v/>
      </c>
      <c r="F21" s="20" t="inlineStr">
        <is>
          <t>%</t>
        </is>
      </c>
      <c r="G21" s="20" t="inlineStr">
        <is>
          <t>Monthly customer churn rate</t>
        </is>
      </c>
    </row>
    <row r="22" ht="15" customHeight="1" s="10">
      <c r="A22" s="20" t="inlineStr">
        <is>
          <t>Starting ARPU</t>
        </is>
      </c>
      <c r="B22" s="37" t="n">
        <v>947</v>
      </c>
      <c r="C22" s="37" t="n">
        <v>960</v>
      </c>
      <c r="D22" s="37" t="n">
        <v>920</v>
      </c>
      <c r="E22" s="38">
        <f>IF($B$5="Upside",C22,IF($B$5="Downside",D22,B22))</f>
        <v/>
      </c>
      <c r="F22" s="20" t="inlineStr">
        <is>
          <t>USD</t>
        </is>
      </c>
      <c r="G22" s="20" t="inlineStr">
        <is>
          <t>Average revenue per customer per month</t>
        </is>
      </c>
    </row>
    <row r="23" ht="15" customHeight="1" s="10">
      <c r="A23" s="20" t="inlineStr">
        <is>
          <t>Annual Price Uplift %</t>
        </is>
      </c>
      <c r="B23" s="41" t="n">
        <v>0.02</v>
      </c>
      <c r="C23" s="41" t="n">
        <v>0.04</v>
      </c>
      <c r="D23" s="41" t="n">
        <v>0</v>
      </c>
      <c r="E23" s="42">
        <f>IF($B$5="Upside",C23,IF($B$5="Downside",D23,B23))</f>
        <v/>
      </c>
      <c r="F23" s="20" t="inlineStr">
        <is>
          <t>%</t>
        </is>
      </c>
      <c r="G23" s="20" t="inlineStr">
        <is>
          <t>Annual ARPU increase</t>
        </is>
      </c>
    </row>
    <row r="24" ht="15" customHeight="1" s="10">
      <c r="A24" s="20" t="inlineStr">
        <is>
          <t>Implementation Fee / New Customer</t>
        </is>
      </c>
      <c r="B24" s="37" t="n">
        <v>3000</v>
      </c>
      <c r="C24" s="37" t="n">
        <v>3500</v>
      </c>
      <c r="D24" s="37" t="n">
        <v>2500</v>
      </c>
      <c r="E24" s="38">
        <f>IF($B$5="Upside",C24,IF($B$5="Downside",D24,B24))</f>
        <v/>
      </c>
      <c r="F24" s="20" t="inlineStr">
        <is>
          <t>USD</t>
        </is>
      </c>
      <c r="G24" s="20" t="inlineStr">
        <is>
          <t>One-time onboarding fee</t>
        </is>
      </c>
    </row>
    <row r="25" ht="15" customHeight="1" s="10">
      <c r="A25" s="20" t="inlineStr">
        <is>
          <t>COGS % Revenue</t>
        </is>
      </c>
      <c r="B25" s="41" t="n">
        <v>0.139</v>
      </c>
      <c r="C25" s="41" t="n">
        <v>0.13</v>
      </c>
      <c r="D25" s="41" t="n">
        <v>0.155</v>
      </c>
      <c r="E25" s="42">
        <f>IF($B$5="Upside",C25,IF($B$5="Downside",D25,B25))</f>
        <v/>
      </c>
      <c r="F25" s="20" t="inlineStr">
        <is>
          <t>%</t>
        </is>
      </c>
      <c r="G25" s="20" t="inlineStr">
        <is>
          <t>Direct service delivery cost as % of revenue</t>
        </is>
      </c>
    </row>
    <row r="26" ht="15" customHeight="1" s="10">
      <c r="A26" s="20" t="inlineStr">
        <is>
          <t>Benefits % Payroll</t>
        </is>
      </c>
      <c r="B26" s="41" t="n">
        <v>0.2</v>
      </c>
      <c r="C26" s="41" t="n">
        <v>0.2</v>
      </c>
      <c r="D26" s="41" t="n">
        <v>0.2</v>
      </c>
      <c r="E26" s="42">
        <f>IF($B$5="Upside",C26,IF($B$5="Downside",D26,B26))</f>
        <v/>
      </c>
      <c r="F26" s="20" t="inlineStr">
        <is>
          <t>%</t>
        </is>
      </c>
      <c r="G26" s="20" t="inlineStr">
        <is>
          <t>Payroll burden &amp; benefits</t>
        </is>
      </c>
    </row>
    <row r="27" ht="15" customHeight="1" s="10">
      <c r="A27" s="20" t="inlineStr">
        <is>
          <t>Tax Rate</t>
        </is>
      </c>
      <c r="B27" s="41" t="n">
        <v>0.21</v>
      </c>
      <c r="C27" s="41" t="n">
        <v>0.21</v>
      </c>
      <c r="D27" s="41" t="n">
        <v>0.21</v>
      </c>
      <c r="E27" s="42">
        <f>IF($B$5="Upside",C27,IF($B$5="Downside",D27,B27))</f>
        <v/>
      </c>
      <c r="F27" s="20" t="inlineStr">
        <is>
          <t>%</t>
        </is>
      </c>
      <c r="G27" s="20" t="inlineStr">
        <is>
          <t>Effective corporate tax rate</t>
        </is>
      </c>
    </row>
    <row r="28" ht="15" customHeight="1" s="10">
      <c r="A28" s="20" t="inlineStr">
        <is>
          <t>DSO</t>
        </is>
      </c>
      <c r="B28" s="43" t="n">
        <v>50</v>
      </c>
      <c r="C28" s="43" t="n">
        <v>45</v>
      </c>
      <c r="D28" s="43" t="n">
        <v>55</v>
      </c>
      <c r="E28" s="44">
        <f>IF($B$5="Upside",C28,IF($B$5="Downside",D28,B28))</f>
        <v/>
      </c>
      <c r="F28" s="20" t="inlineStr">
        <is>
          <t>days</t>
        </is>
      </c>
      <c r="G28" s="20" t="inlineStr">
        <is>
          <t>Average collection period</t>
        </is>
      </c>
    </row>
    <row r="29" ht="15" customHeight="1" s="10">
      <c r="A29" s="20" t="inlineStr">
        <is>
          <t>DPO</t>
        </is>
      </c>
      <c r="B29" s="43" t="n">
        <v>15</v>
      </c>
      <c r="C29" s="43" t="n">
        <v>20</v>
      </c>
      <c r="D29" s="43" t="n">
        <v>12</v>
      </c>
      <c r="E29" s="44">
        <f>IF($B$5="Upside",C29,IF($B$5="Downside",D29,B29))</f>
        <v/>
      </c>
      <c r="F29" s="20" t="inlineStr">
        <is>
          <t>days</t>
        </is>
      </c>
      <c r="G29" s="20" t="inlineStr">
        <is>
          <t>Average payment period</t>
        </is>
      </c>
    </row>
    <row r="30" ht="15" customHeight="1" s="10">
      <c r="A30" s="20" t="inlineStr">
        <is>
          <t>Interest Rate</t>
        </is>
      </c>
      <c r="B30" s="41" t="n">
        <v>0.05</v>
      </c>
      <c r="C30" s="41" t="n">
        <v>0.05</v>
      </c>
      <c r="D30" s="41" t="n">
        <v>0.05</v>
      </c>
      <c r="E30" s="42">
        <f>IF($B$5="Upside",C30,IF($B$5="Downside",D30,B30))</f>
        <v/>
      </c>
      <c r="F30" s="20" t="inlineStr">
        <is>
          <t>%</t>
        </is>
      </c>
      <c r="G30" s="20" t="inlineStr">
        <is>
          <t>Average annual debt cost</t>
        </is>
      </c>
    </row>
    <row r="31" ht="15" customHeight="1" s="10">
      <c r="A31" s="20" t="inlineStr">
        <is>
          <t>Depreciation Life (months)</t>
        </is>
      </c>
      <c r="B31" s="43" t="n">
        <v>36</v>
      </c>
      <c r="C31" s="43" t="n">
        <v>36</v>
      </c>
      <c r="D31" s="43" t="n">
        <v>36</v>
      </c>
      <c r="E31" s="44">
        <f>IF($B$5="Upside",C31,IF($B$5="Downside",D31,B31))</f>
        <v/>
      </c>
      <c r="F31" s="20" t="inlineStr">
        <is>
          <t>months</t>
        </is>
      </c>
      <c r="G31" s="20" t="inlineStr">
        <is>
          <t>Straight-line useful life</t>
        </is>
      </c>
    </row>
    <row r="32" ht="15" customHeight="1" s="10">
      <c r="A32" s="20" t="inlineStr">
        <is>
          <t>Capex % Revenue</t>
        </is>
      </c>
      <c r="B32" s="41" t="n">
        <v>0.042</v>
      </c>
      <c r="C32" s="41" t="n">
        <v>0.038</v>
      </c>
      <c r="D32" s="41" t="n">
        <v>0.048</v>
      </c>
      <c r="E32" s="42">
        <f>IF($B$5="Upside",C32,IF($B$5="Downside",D32,B32))</f>
        <v/>
      </c>
      <c r="F32" s="20" t="inlineStr">
        <is>
          <t>%</t>
        </is>
      </c>
      <c r="G32" s="20" t="inlineStr">
        <is>
          <t>Capital spend as % of revenue</t>
        </is>
      </c>
    </row>
    <row r="33" ht="15" customHeight="1" s="10">
      <c r="A33" s="20" t="inlineStr">
        <is>
          <t>Sales Opening HC</t>
        </is>
      </c>
      <c r="B33" s="39" t="n">
        <v>2682</v>
      </c>
      <c r="C33" s="39" t="n">
        <v>2682</v>
      </c>
      <c r="D33" s="39" t="n">
        <v>2682</v>
      </c>
      <c r="E33" s="40">
        <f>IF($B$5="Upside",C33,IF($B$5="Downside",D33,B33))</f>
        <v/>
      </c>
      <c r="F33" s="20" t="inlineStr">
        <is>
          <t>FTE</t>
        </is>
      </c>
      <c r="G33" s="20" t="inlineStr">
        <is>
          <t>Opening sales team headcount</t>
        </is>
      </c>
    </row>
    <row r="34" ht="15" customHeight="1" s="10">
      <c r="A34" s="20" t="inlineStr">
        <is>
          <t>Marketing Opening HC</t>
        </is>
      </c>
      <c r="B34" s="39" t="n">
        <v>920</v>
      </c>
      <c r="C34" s="39" t="n">
        <v>920</v>
      </c>
      <c r="D34" s="39" t="n">
        <v>920</v>
      </c>
      <c r="E34" s="40">
        <f>IF($B$5="Upside",C34,IF($B$5="Downside",D34,B34))</f>
        <v/>
      </c>
      <c r="F34" s="20" t="inlineStr">
        <is>
          <t>FTE</t>
        </is>
      </c>
      <c r="G34" s="20" t="inlineStr">
        <is>
          <t>Opening marketing headcount</t>
        </is>
      </c>
    </row>
    <row r="35" ht="15" customHeight="1" s="10">
      <c r="A35" s="20" t="inlineStr">
        <is>
          <t>R&amp;D Opening HC</t>
        </is>
      </c>
      <c r="B35" s="39" t="n">
        <v>2299</v>
      </c>
      <c r="C35" s="39" t="n">
        <v>2299</v>
      </c>
      <c r="D35" s="39" t="n">
        <v>2299</v>
      </c>
      <c r="E35" s="40">
        <f>IF($B$5="Upside",C35,IF($B$5="Downside",D35,B35))</f>
        <v/>
      </c>
      <c r="F35" s="20" t="inlineStr">
        <is>
          <t>FTE</t>
        </is>
      </c>
      <c r="G35" s="20" t="inlineStr">
        <is>
          <t>Opening R&amp;D headcount</t>
        </is>
      </c>
    </row>
    <row r="36" ht="15" customHeight="1" s="10">
      <c r="A36" s="20" t="inlineStr">
        <is>
          <t>G&amp;A Opening HC</t>
        </is>
      </c>
      <c r="B36" s="39" t="n">
        <v>766</v>
      </c>
      <c r="C36" s="39" t="n">
        <v>766</v>
      </c>
      <c r="D36" s="39" t="n">
        <v>766</v>
      </c>
      <c r="E36" s="40">
        <f>IF($B$5="Upside",C36,IF($B$5="Downside",D36,B36))</f>
        <v/>
      </c>
      <c r="F36" s="20" t="inlineStr">
        <is>
          <t>FTE</t>
        </is>
      </c>
      <c r="G36" s="20" t="inlineStr">
        <is>
          <t>Opening G&amp;A headcount</t>
        </is>
      </c>
    </row>
    <row r="37" ht="15" customHeight="1" s="10">
      <c r="A37" s="20" t="inlineStr">
        <is>
          <t>Customer Success Opening HC</t>
        </is>
      </c>
      <c r="B37" s="39" t="n">
        <v>996</v>
      </c>
      <c r="C37" s="39" t="n">
        <v>996</v>
      </c>
      <c r="D37" s="39" t="n">
        <v>996</v>
      </c>
      <c r="E37" s="40">
        <f>IF($B$5="Upside",C37,IF($B$5="Downside",D37,B37))</f>
        <v/>
      </c>
      <c r="F37" s="20" t="inlineStr">
        <is>
          <t>FTE</t>
        </is>
      </c>
      <c r="G37" s="20" t="inlineStr">
        <is>
          <t>Opening CS headcount</t>
        </is>
      </c>
    </row>
    <row r="38" ht="15" customHeight="1" s="10">
      <c r="A38" s="20" t="inlineStr">
        <is>
          <t>Sales Salary</t>
        </is>
      </c>
      <c r="B38" s="37" t="n">
        <v>85000</v>
      </c>
      <c r="C38" s="37" t="n">
        <v>85000</v>
      </c>
      <c r="D38" s="37" t="n">
        <v>85000</v>
      </c>
      <c r="E38" s="38">
        <f>IF($B$5="Upside",C38,IF($B$5="Downside",D38,B38))</f>
        <v/>
      </c>
      <c r="F38" s="20" t="inlineStr">
        <is>
          <t>USD/yr</t>
        </is>
      </c>
      <c r="G38" s="20" t="inlineStr">
        <is>
          <t>Average annual fully loaded base salary</t>
        </is>
      </c>
    </row>
    <row r="39" ht="15" customHeight="1" s="10">
      <c r="A39" s="20" t="inlineStr">
        <is>
          <t>Marketing Salary</t>
        </is>
      </c>
      <c r="B39" s="37" t="n">
        <v>90000</v>
      </c>
      <c r="C39" s="37" t="n">
        <v>90000</v>
      </c>
      <c r="D39" s="37" t="n">
        <v>90000</v>
      </c>
      <c r="E39" s="38">
        <f>IF($B$5="Upside",C39,IF($B$5="Downside",D39,B39))</f>
        <v/>
      </c>
      <c r="F39" s="20" t="inlineStr">
        <is>
          <t>USD/yr</t>
        </is>
      </c>
      <c r="G39" s="20" t="inlineStr">
        <is>
          <t>Average annual fully loaded base salary</t>
        </is>
      </c>
    </row>
    <row r="40" ht="15" customHeight="1" s="10">
      <c r="A40" s="20" t="inlineStr">
        <is>
          <t>R&amp;D Salary</t>
        </is>
      </c>
      <c r="B40" s="37" t="n">
        <v>130000</v>
      </c>
      <c r="C40" s="37" t="n">
        <v>130000</v>
      </c>
      <c r="D40" s="37" t="n">
        <v>130000</v>
      </c>
      <c r="E40" s="38">
        <f>IF($B$5="Upside",C40,IF($B$5="Downside",D40,B40))</f>
        <v/>
      </c>
      <c r="F40" s="20" t="inlineStr">
        <is>
          <t>USD/yr</t>
        </is>
      </c>
      <c r="G40" s="20" t="inlineStr">
        <is>
          <t>Average annual fully loaded base salary</t>
        </is>
      </c>
    </row>
    <row r="41" ht="15" customHeight="1" s="10">
      <c r="A41" s="20" t="inlineStr">
        <is>
          <t>G&amp;A Salary</t>
        </is>
      </c>
      <c r="B41" s="37" t="n">
        <v>95000</v>
      </c>
      <c r="C41" s="37" t="n">
        <v>95000</v>
      </c>
      <c r="D41" s="37" t="n">
        <v>95000</v>
      </c>
      <c r="E41" s="38">
        <f>IF($B$5="Upside",C41,IF($B$5="Downside",D41,B41))</f>
        <v/>
      </c>
      <c r="F41" s="20" t="inlineStr">
        <is>
          <t>USD/yr</t>
        </is>
      </c>
      <c r="G41" s="20" t="inlineStr">
        <is>
          <t>Average annual fully loaded base salary</t>
        </is>
      </c>
    </row>
    <row r="42" ht="15" customHeight="1" s="10">
      <c r="A42" s="20" t="inlineStr">
        <is>
          <t>Customer Success Salary</t>
        </is>
      </c>
      <c r="B42" s="37" t="n">
        <v>75000</v>
      </c>
      <c r="C42" s="37" t="n">
        <v>75000</v>
      </c>
      <c r="D42" s="37" t="n">
        <v>75000</v>
      </c>
      <c r="E42" s="38">
        <f>IF($B$5="Upside",C42,IF($B$5="Downside",D42,B42))</f>
        <v/>
      </c>
      <c r="F42" s="20" t="inlineStr">
        <is>
          <t>USD/yr</t>
        </is>
      </c>
      <c r="G42" s="20" t="inlineStr">
        <is>
          <t>Average annual fully loaded base salary</t>
        </is>
      </c>
    </row>
    <row r="43" ht="15" customHeight="1" s="10">
      <c r="A43" s="20" t="inlineStr">
        <is>
          <t>Marketing Programs % Revenue</t>
        </is>
      </c>
      <c r="B43" s="41" t="n">
        <v>0.09</v>
      </c>
      <c r="C43" s="41" t="n">
        <v>0.1</v>
      </c>
      <c r="D43" s="41" t="n">
        <v>0.08</v>
      </c>
      <c r="E43" s="42">
        <f>IF($B$5="Upside",C43,IF($B$5="Downside",D43,B43))</f>
        <v/>
      </c>
      <c r="F43" s="20" t="inlineStr">
        <is>
          <t>%</t>
        </is>
      </c>
      <c r="G43" s="20" t="inlineStr">
        <is>
          <t>Demand generation spend as % of revenue</t>
        </is>
      </c>
    </row>
    <row r="44" ht="15" customHeight="1" s="10">
      <c r="A44" s="20" t="inlineStr">
        <is>
          <t>Software / month</t>
        </is>
      </c>
      <c r="B44" s="37" t="n">
        <v>2000000</v>
      </c>
      <c r="C44" s="37" t="n">
        <v>2000000</v>
      </c>
      <c r="D44" s="37" t="n">
        <v>2000000</v>
      </c>
      <c r="E44" s="38">
        <f>IF($B$5="Upside",C44,IF($B$5="Downside",D44,B44))</f>
        <v/>
      </c>
      <c r="F44" s="20" t="inlineStr">
        <is>
          <t>USD</t>
        </is>
      </c>
      <c r="G44" s="20" t="inlineStr">
        <is>
          <t>Core SaaS tools and subscriptions</t>
        </is>
      </c>
    </row>
    <row r="45" ht="15" customHeight="1" s="10">
      <c r="A45" s="20" t="inlineStr">
        <is>
          <t>Rent / month</t>
        </is>
      </c>
      <c r="B45" s="37" t="n">
        <v>3000000</v>
      </c>
      <c r="C45" s="37" t="n">
        <v>3000000</v>
      </c>
      <c r="D45" s="37" t="n">
        <v>3000000</v>
      </c>
      <c r="E45" s="38">
        <f>IF($B$5="Upside",C45,IF($B$5="Downside",D45,B45))</f>
        <v/>
      </c>
      <c r="F45" s="20" t="inlineStr">
        <is>
          <t>USD</t>
        </is>
      </c>
      <c r="G45" s="20" t="inlineStr">
        <is>
          <t>Office / facilities</t>
        </is>
      </c>
    </row>
    <row r="46" ht="15" customHeight="1" s="10">
      <c r="A46" s="20" t="inlineStr">
        <is>
          <t>Travel % Revenue</t>
        </is>
      </c>
      <c r="B46" s="41" t="n">
        <v>0.01</v>
      </c>
      <c r="C46" s="41" t="n">
        <v>0.012</v>
      </c>
      <c r="D46" s="41" t="n">
        <v>0.008</v>
      </c>
      <c r="E46" s="42">
        <f>IF($B$5="Upside",C46,IF($B$5="Downside",D46,B46))</f>
        <v/>
      </c>
      <c r="F46" s="20" t="inlineStr">
        <is>
          <t>%</t>
        </is>
      </c>
      <c r="G46" s="20" t="inlineStr">
        <is>
          <t>Travel and entertainment as % of revenue</t>
        </is>
      </c>
    </row>
    <row r="47" ht="15" customHeight="1" s="10">
      <c r="A47" s="20" t="inlineStr">
        <is>
          <t>Other G&amp;A / month</t>
        </is>
      </c>
      <c r="B47" s="37" t="n">
        <v>3000000</v>
      </c>
      <c r="C47" s="37" t="n">
        <v>3000000</v>
      </c>
      <c r="D47" s="37" t="n">
        <v>3000000</v>
      </c>
      <c r="E47" s="38">
        <f>IF($B$5="Upside",C47,IF($B$5="Downside",D47,B47))</f>
        <v/>
      </c>
      <c r="F47" s="20" t="inlineStr">
        <is>
          <t>USD</t>
        </is>
      </c>
      <c r="G47" s="20" t="inlineStr">
        <is>
          <t>Insurance, audit, admin and misc.</t>
        </is>
      </c>
    </row>
    <row r="49" ht="15" customHeight="1" s="10">
      <c r="A49" s="28" t="inlineStr">
        <is>
          <t>3. Monthly New Customer Schedule (override base assumption per month)</t>
        </is>
      </c>
    </row>
    <row r="50" ht="15" customHeight="1" s="10">
      <c r="A50" s="45" t="inlineStr">
        <is>
          <t>Leave cells blank to use base scenario assumption. Enter a number to override that specific month.</t>
        </is>
      </c>
    </row>
    <row r="51" ht="15" customHeight="1" s="10">
      <c r="A51" s="28" t="inlineStr">
        <is>
          <t>Monthly New Customers Override</t>
        </is>
      </c>
      <c r="B51" s="46">
        <f>Data_Entry!$E$11</f>
        <v/>
      </c>
      <c r="C51" s="47">
        <f>DATE(YEAR(B51),MONTH(B51)+1,1)</f>
        <v/>
      </c>
      <c r="D51" s="47">
        <f>DATE(YEAR(C51),MONTH(C51)+1,1)</f>
        <v/>
      </c>
      <c r="E51" s="47">
        <f>DATE(YEAR(D51),MONTH(D51)+1,1)</f>
        <v/>
      </c>
      <c r="F51" s="47">
        <f>DATE(YEAR(E51),MONTH(E51)+1,1)</f>
        <v/>
      </c>
      <c r="G51" s="47">
        <f>DATE(YEAR(F51),MONTH(F51)+1,1)</f>
        <v/>
      </c>
      <c r="H51" s="47">
        <f>DATE(YEAR(G51),MONTH(G51)+1,1)</f>
        <v/>
      </c>
      <c r="I51" s="47">
        <f>DATE(YEAR(H51),MONTH(H51)+1,1)</f>
        <v/>
      </c>
      <c r="J51" s="47">
        <f>DATE(YEAR(I51),MONTH(I51)+1,1)</f>
        <v/>
      </c>
      <c r="K51" s="47">
        <f>DATE(YEAR(J51),MONTH(J51)+1,1)</f>
        <v/>
      </c>
      <c r="L51" s="47">
        <f>DATE(YEAR(K51),MONTH(K51)+1,1)</f>
        <v/>
      </c>
      <c r="M51" s="47">
        <f>DATE(YEAR(L51),MONTH(L51)+1,1)</f>
        <v/>
      </c>
      <c r="N51" s="47">
        <f>DATE(YEAR(M51),MONTH(M51)+1,1)</f>
        <v/>
      </c>
      <c r="O51" s="47">
        <f>DATE(YEAR(N51),MONTH(N51)+1,1)</f>
        <v/>
      </c>
      <c r="P51" s="47">
        <f>DATE(YEAR(O51),MONTH(O51)+1,1)</f>
        <v/>
      </c>
      <c r="Q51" s="47">
        <f>DATE(YEAR(P51),MONTH(P51)+1,1)</f>
        <v/>
      </c>
      <c r="R51" s="47">
        <f>DATE(YEAR(Q51),MONTH(Q51)+1,1)</f>
        <v/>
      </c>
      <c r="S51" s="47">
        <f>DATE(YEAR(R51),MONTH(R51)+1,1)</f>
        <v/>
      </c>
      <c r="T51" s="47">
        <f>DATE(YEAR(S51),MONTH(S51)+1,1)</f>
        <v/>
      </c>
      <c r="U51" s="47">
        <f>DATE(YEAR(T51),MONTH(T51)+1,1)</f>
        <v/>
      </c>
      <c r="V51" s="47">
        <f>DATE(YEAR(U51),MONTH(U51)+1,1)</f>
        <v/>
      </c>
      <c r="W51" s="47">
        <f>DATE(YEAR(V51),MONTH(V51)+1,1)</f>
        <v/>
      </c>
      <c r="X51" s="47">
        <f>DATE(YEAR(W51),MONTH(W51)+1,1)</f>
        <v/>
      </c>
      <c r="Y51" s="47">
        <f>DATE(YEAR(X51),MONTH(X51)+1,1)</f>
        <v/>
      </c>
    </row>
    <row r="52" ht="15" customHeight="1" s="10">
      <c r="A52" s="24" t="inlineStr">
        <is>
          <t>New Customers (blank = use base)</t>
        </is>
      </c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  <c r="S52" s="48" t="n"/>
      <c r="T52" s="48" t="n"/>
      <c r="U52" s="48" t="n"/>
      <c r="V52" s="48" t="n"/>
      <c r="W52" s="48" t="n"/>
      <c r="X52" s="48" t="n"/>
      <c r="Y52" s="48" t="n"/>
    </row>
    <row r="54" ht="15" customHeight="1" s="10">
      <c r="A54" s="31" t="inlineStr">
        <is>
          <t>3. Monthly Hiring Plan</t>
        </is>
      </c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1" t="n"/>
    </row>
    <row r="55" ht="15" customHeight="1" s="10">
      <c r="A55" s="34" t="inlineStr">
        <is>
          <t>Department / Movement</t>
        </is>
      </c>
      <c r="B55" s="49">
        <f>Data_Entry!$E$11</f>
        <v/>
      </c>
      <c r="C55" s="49">
        <f>DATE(YEAR(B51),MONTH(B51)+1,1)</f>
        <v/>
      </c>
      <c r="D55" s="49">
        <f>DATE(YEAR(C51),MONTH(C51)+1,1)</f>
        <v/>
      </c>
      <c r="E55" s="49">
        <f>DATE(YEAR(D51),MONTH(D51)+1,1)</f>
        <v/>
      </c>
      <c r="F55" s="49">
        <f>DATE(YEAR(E51),MONTH(E51)+1,1)</f>
        <v/>
      </c>
      <c r="G55" s="49">
        <f>DATE(YEAR(F51),MONTH(F51)+1,1)</f>
        <v/>
      </c>
      <c r="H55" s="49">
        <f>DATE(YEAR(G51),MONTH(G51)+1,1)</f>
        <v/>
      </c>
      <c r="I55" s="49">
        <f>DATE(YEAR(H51),MONTH(H51)+1,1)</f>
        <v/>
      </c>
      <c r="J55" s="49">
        <f>DATE(YEAR(I51),MONTH(I51)+1,1)</f>
        <v/>
      </c>
      <c r="K55" s="49">
        <f>DATE(YEAR(J51),MONTH(J51)+1,1)</f>
        <v/>
      </c>
      <c r="L55" s="49">
        <f>DATE(YEAR(K51),MONTH(K51)+1,1)</f>
        <v/>
      </c>
      <c r="M55" s="49">
        <f>DATE(YEAR(L51),MONTH(L51)+1,1)</f>
        <v/>
      </c>
      <c r="N55" s="49">
        <f>DATE(YEAR(M51),MONTH(M51)+1,1)</f>
        <v/>
      </c>
      <c r="O55" s="49">
        <f>DATE(YEAR(N51),MONTH(N51)+1,1)</f>
        <v/>
      </c>
      <c r="P55" s="49">
        <f>DATE(YEAR(O51),MONTH(O51)+1,1)</f>
        <v/>
      </c>
      <c r="Q55" s="49">
        <f>DATE(YEAR(P51),MONTH(P51)+1,1)</f>
        <v/>
      </c>
      <c r="R55" s="49">
        <f>DATE(YEAR(Q51),MONTH(Q51)+1,1)</f>
        <v/>
      </c>
      <c r="S55" s="49">
        <f>DATE(YEAR(R51),MONTH(R51)+1,1)</f>
        <v/>
      </c>
      <c r="T55" s="49">
        <f>DATE(YEAR(S51),MONTH(S51)+1,1)</f>
        <v/>
      </c>
      <c r="U55" s="49">
        <f>DATE(YEAR(T51),MONTH(T51)+1,1)</f>
        <v/>
      </c>
      <c r="V55" s="49">
        <f>DATE(YEAR(U51),MONTH(U51)+1,1)</f>
        <v/>
      </c>
      <c r="W55" s="49">
        <f>DATE(YEAR(V51),MONTH(V51)+1,1)</f>
        <v/>
      </c>
      <c r="X55" s="49">
        <f>DATE(YEAR(W51),MONTH(W51)+1,1)</f>
        <v/>
      </c>
      <c r="Y55" s="49">
        <f>DATE(YEAR(X51),MONTH(X51)+1,1)</f>
        <v/>
      </c>
    </row>
    <row r="56" ht="15" customHeight="1" s="10">
      <c r="A56" s="20" t="inlineStr">
        <is>
          <t>Sales Hires</t>
        </is>
      </c>
      <c r="B56" s="50" t="n">
        <v>0</v>
      </c>
      <c r="C56" s="50" t="n">
        <v>0</v>
      </c>
      <c r="D56" s="50" t="n">
        <v>1</v>
      </c>
      <c r="E56" s="50" t="n">
        <v>0</v>
      </c>
      <c r="F56" s="50" t="n">
        <v>0</v>
      </c>
      <c r="G56" s="50" t="n">
        <v>0</v>
      </c>
      <c r="H56" s="50" t="n">
        <v>1</v>
      </c>
      <c r="I56" s="50" t="n">
        <v>0</v>
      </c>
      <c r="J56" s="50" t="n">
        <v>0</v>
      </c>
      <c r="K56" s="50" t="n">
        <v>0</v>
      </c>
      <c r="L56" s="50" t="n">
        <v>1</v>
      </c>
      <c r="M56" s="50" t="n">
        <v>0</v>
      </c>
      <c r="N56" s="50" t="n">
        <v>0</v>
      </c>
      <c r="O56" s="50" t="n">
        <v>0</v>
      </c>
      <c r="P56" s="50" t="n">
        <v>1</v>
      </c>
      <c r="Q56" s="50" t="n">
        <v>0</v>
      </c>
      <c r="R56" s="50" t="n">
        <v>0</v>
      </c>
      <c r="S56" s="50" t="n">
        <v>0</v>
      </c>
      <c r="T56" s="50" t="n">
        <v>1</v>
      </c>
      <c r="U56" s="50" t="n">
        <v>0</v>
      </c>
      <c r="V56" s="50" t="n">
        <v>0</v>
      </c>
      <c r="W56" s="50" t="n">
        <v>0</v>
      </c>
      <c r="X56" s="50" t="n">
        <v>1</v>
      </c>
      <c r="Y56" s="50" t="n">
        <v>0</v>
      </c>
    </row>
    <row r="57" ht="15" customHeight="1" s="10">
      <c r="A57" s="20" t="inlineStr">
        <is>
          <t>Sales Terms</t>
        </is>
      </c>
      <c r="B57" s="50" t="n">
        <v>0</v>
      </c>
      <c r="C57" s="50" t="n">
        <v>0</v>
      </c>
      <c r="D57" s="50" t="n">
        <v>0</v>
      </c>
      <c r="E57" s="50" t="n">
        <v>0</v>
      </c>
      <c r="F57" s="50" t="n">
        <v>0</v>
      </c>
      <c r="G57" s="50" t="n">
        <v>0</v>
      </c>
      <c r="H57" s="50" t="n">
        <v>0</v>
      </c>
      <c r="I57" s="50" t="n">
        <v>0</v>
      </c>
      <c r="J57" s="50" t="n">
        <v>0</v>
      </c>
      <c r="K57" s="50" t="n">
        <v>0</v>
      </c>
      <c r="L57" s="50" t="n">
        <v>0</v>
      </c>
      <c r="M57" s="50" t="n">
        <v>0</v>
      </c>
      <c r="N57" s="50" t="n">
        <v>0</v>
      </c>
      <c r="O57" s="50" t="n">
        <v>0</v>
      </c>
      <c r="P57" s="50" t="n">
        <v>0</v>
      </c>
      <c r="Q57" s="50" t="n">
        <v>0</v>
      </c>
      <c r="R57" s="50" t="n">
        <v>0</v>
      </c>
      <c r="S57" s="50" t="n">
        <v>0</v>
      </c>
      <c r="T57" s="50" t="n">
        <v>0</v>
      </c>
      <c r="U57" s="50" t="n">
        <v>0</v>
      </c>
      <c r="V57" s="50" t="n">
        <v>0</v>
      </c>
      <c r="W57" s="50" t="n">
        <v>0</v>
      </c>
      <c r="X57" s="50" t="n">
        <v>0</v>
      </c>
      <c r="Y57" s="50" t="n">
        <v>0</v>
      </c>
    </row>
    <row r="58" ht="15" customHeight="1" s="10">
      <c r="A58" s="20" t="inlineStr">
        <is>
          <t>Marketing Hires</t>
        </is>
      </c>
      <c r="B58" s="50" t="n">
        <v>0</v>
      </c>
      <c r="C58" s="50" t="n">
        <v>0</v>
      </c>
      <c r="D58" s="50" t="n">
        <v>0</v>
      </c>
      <c r="E58" s="50" t="n">
        <v>0</v>
      </c>
      <c r="F58" s="50" t="n">
        <v>0</v>
      </c>
      <c r="G58" s="50" t="n">
        <v>0</v>
      </c>
      <c r="H58" s="50" t="n">
        <v>0</v>
      </c>
      <c r="I58" s="50" t="n">
        <v>0</v>
      </c>
      <c r="J58" s="50" t="n">
        <v>0</v>
      </c>
      <c r="K58" s="50" t="n">
        <v>1</v>
      </c>
      <c r="L58" s="50" t="n">
        <v>0</v>
      </c>
      <c r="M58" s="50" t="n">
        <v>0</v>
      </c>
      <c r="N58" s="50" t="n">
        <v>0</v>
      </c>
      <c r="O58" s="50" t="n">
        <v>0</v>
      </c>
      <c r="P58" s="50" t="n">
        <v>0</v>
      </c>
      <c r="Q58" s="50" t="n">
        <v>0</v>
      </c>
      <c r="R58" s="50" t="n">
        <v>0</v>
      </c>
      <c r="S58" s="50" t="n">
        <v>0</v>
      </c>
      <c r="T58" s="50" t="n">
        <v>0</v>
      </c>
      <c r="U58" s="50" t="n">
        <v>0</v>
      </c>
      <c r="V58" s="50" t="n">
        <v>0</v>
      </c>
      <c r="W58" s="50" t="n">
        <v>1</v>
      </c>
      <c r="X58" s="50" t="n">
        <v>0</v>
      </c>
      <c r="Y58" s="50" t="n">
        <v>0</v>
      </c>
    </row>
    <row r="59" ht="15" customHeight="1" s="10">
      <c r="A59" s="20" t="inlineStr">
        <is>
          <t>Marketing Terms</t>
        </is>
      </c>
      <c r="B59" s="50" t="n">
        <v>0</v>
      </c>
      <c r="C59" s="50" t="n">
        <v>0</v>
      </c>
      <c r="D59" s="50" t="n">
        <v>0</v>
      </c>
      <c r="E59" s="50" t="n">
        <v>0</v>
      </c>
      <c r="F59" s="50" t="n">
        <v>0</v>
      </c>
      <c r="G59" s="50" t="n">
        <v>0</v>
      </c>
      <c r="H59" s="50" t="n">
        <v>0</v>
      </c>
      <c r="I59" s="50" t="n">
        <v>0</v>
      </c>
      <c r="J59" s="50" t="n">
        <v>0</v>
      </c>
      <c r="K59" s="50" t="n">
        <v>0</v>
      </c>
      <c r="L59" s="50" t="n">
        <v>0</v>
      </c>
      <c r="M59" s="50" t="n">
        <v>0</v>
      </c>
      <c r="N59" s="50" t="n">
        <v>0</v>
      </c>
      <c r="O59" s="50" t="n">
        <v>0</v>
      </c>
      <c r="P59" s="50" t="n">
        <v>0</v>
      </c>
      <c r="Q59" s="50" t="n">
        <v>0</v>
      </c>
      <c r="R59" s="50" t="n">
        <v>0</v>
      </c>
      <c r="S59" s="50" t="n">
        <v>0</v>
      </c>
      <c r="T59" s="50" t="n">
        <v>0</v>
      </c>
      <c r="U59" s="50" t="n">
        <v>0</v>
      </c>
      <c r="V59" s="50" t="n">
        <v>0</v>
      </c>
      <c r="W59" s="50" t="n">
        <v>0</v>
      </c>
      <c r="X59" s="50" t="n">
        <v>0</v>
      </c>
      <c r="Y59" s="50" t="n">
        <v>0</v>
      </c>
    </row>
    <row r="60" ht="15" customHeight="1" s="10">
      <c r="A60" s="20" t="inlineStr">
        <is>
          <t>R&amp;D Hires</t>
        </is>
      </c>
      <c r="B60" s="50" t="n">
        <v>0</v>
      </c>
      <c r="C60" s="50" t="n">
        <v>0</v>
      </c>
      <c r="D60" s="50" t="n">
        <v>0</v>
      </c>
      <c r="E60" s="50" t="n">
        <v>0</v>
      </c>
      <c r="F60" s="50" t="n">
        <v>0</v>
      </c>
      <c r="G60" s="50" t="n">
        <v>1</v>
      </c>
      <c r="H60" s="50" t="n">
        <v>0</v>
      </c>
      <c r="I60" s="50" t="n">
        <v>0</v>
      </c>
      <c r="J60" s="50" t="n">
        <v>0</v>
      </c>
      <c r="K60" s="50" t="n">
        <v>0</v>
      </c>
      <c r="L60" s="50" t="n">
        <v>0</v>
      </c>
      <c r="M60" s="50" t="n">
        <v>0</v>
      </c>
      <c r="N60" s="50" t="n">
        <v>0</v>
      </c>
      <c r="O60" s="50" t="n">
        <v>1</v>
      </c>
      <c r="P60" s="50" t="n">
        <v>0</v>
      </c>
      <c r="Q60" s="50" t="n">
        <v>0</v>
      </c>
      <c r="R60" s="50" t="n">
        <v>0</v>
      </c>
      <c r="S60" s="50" t="n">
        <v>0</v>
      </c>
      <c r="T60" s="50" t="n">
        <v>0</v>
      </c>
      <c r="U60" s="50" t="n">
        <v>0</v>
      </c>
      <c r="V60" s="50" t="n">
        <v>0</v>
      </c>
      <c r="W60" s="50" t="n">
        <v>1</v>
      </c>
      <c r="X60" s="50" t="n">
        <v>0</v>
      </c>
      <c r="Y60" s="50" t="n">
        <v>0</v>
      </c>
    </row>
    <row r="61" ht="15" customHeight="1" s="10">
      <c r="A61" s="20" t="inlineStr">
        <is>
          <t>R&amp;D Terms</t>
        </is>
      </c>
      <c r="B61" s="50" t="n">
        <v>0</v>
      </c>
      <c r="C61" s="50" t="n">
        <v>0</v>
      </c>
      <c r="D61" s="50" t="n">
        <v>0</v>
      </c>
      <c r="E61" s="50" t="n">
        <v>0</v>
      </c>
      <c r="F61" s="50" t="n">
        <v>0</v>
      </c>
      <c r="G61" s="50" t="n">
        <v>0</v>
      </c>
      <c r="H61" s="50" t="n">
        <v>0</v>
      </c>
      <c r="I61" s="50" t="n">
        <v>0</v>
      </c>
      <c r="J61" s="50" t="n">
        <v>0</v>
      </c>
      <c r="K61" s="50" t="n">
        <v>0</v>
      </c>
      <c r="L61" s="50" t="n">
        <v>0</v>
      </c>
      <c r="M61" s="50" t="n">
        <v>0</v>
      </c>
      <c r="N61" s="50" t="n">
        <v>0</v>
      </c>
      <c r="O61" s="50" t="n">
        <v>0</v>
      </c>
      <c r="P61" s="50" t="n">
        <v>0</v>
      </c>
      <c r="Q61" s="50" t="n">
        <v>0</v>
      </c>
      <c r="R61" s="50" t="n">
        <v>0</v>
      </c>
      <c r="S61" s="50" t="n">
        <v>0</v>
      </c>
      <c r="T61" s="50" t="n">
        <v>0</v>
      </c>
      <c r="U61" s="50" t="n">
        <v>0</v>
      </c>
      <c r="V61" s="50" t="n">
        <v>0</v>
      </c>
      <c r="W61" s="50" t="n">
        <v>0</v>
      </c>
      <c r="X61" s="50" t="n">
        <v>0</v>
      </c>
      <c r="Y61" s="50" t="n">
        <v>0</v>
      </c>
    </row>
    <row r="62" ht="15" customHeight="1" s="10">
      <c r="A62" s="20" t="inlineStr">
        <is>
          <t>G&amp;A Hires</t>
        </is>
      </c>
      <c r="B62" s="50" t="n">
        <v>0</v>
      </c>
      <c r="C62" s="50" t="n">
        <v>0</v>
      </c>
      <c r="D62" s="50" t="n">
        <v>0</v>
      </c>
      <c r="E62" s="50" t="n">
        <v>0</v>
      </c>
      <c r="F62" s="50" t="n">
        <v>0</v>
      </c>
      <c r="G62" s="50" t="n">
        <v>0</v>
      </c>
      <c r="H62" s="50" t="n">
        <v>0</v>
      </c>
      <c r="I62" s="50" t="n">
        <v>0</v>
      </c>
      <c r="J62" s="50" t="n">
        <v>0</v>
      </c>
      <c r="K62" s="50" t="n">
        <v>0</v>
      </c>
      <c r="L62" s="50" t="n">
        <v>0</v>
      </c>
      <c r="M62" s="50" t="n">
        <v>0</v>
      </c>
      <c r="N62" s="50" t="n">
        <v>0</v>
      </c>
      <c r="O62" s="50" t="n">
        <v>0</v>
      </c>
      <c r="P62" s="50" t="n">
        <v>0</v>
      </c>
      <c r="Q62" s="50" t="n">
        <v>0</v>
      </c>
      <c r="R62" s="50" t="n">
        <v>0</v>
      </c>
      <c r="S62" s="50" t="n">
        <v>1</v>
      </c>
      <c r="T62" s="50" t="n">
        <v>0</v>
      </c>
      <c r="U62" s="50" t="n">
        <v>0</v>
      </c>
      <c r="V62" s="50" t="n">
        <v>0</v>
      </c>
      <c r="W62" s="50" t="n">
        <v>0</v>
      </c>
      <c r="X62" s="50" t="n">
        <v>0</v>
      </c>
      <c r="Y62" s="50" t="n">
        <v>0</v>
      </c>
    </row>
    <row r="63" ht="15" customHeight="1" s="10">
      <c r="A63" s="20" t="inlineStr">
        <is>
          <t>G&amp;A Terms</t>
        </is>
      </c>
      <c r="B63" s="50" t="n">
        <v>0</v>
      </c>
      <c r="C63" s="50" t="n">
        <v>0</v>
      </c>
      <c r="D63" s="50" t="n">
        <v>0</v>
      </c>
      <c r="E63" s="50" t="n">
        <v>0</v>
      </c>
      <c r="F63" s="50" t="n">
        <v>0</v>
      </c>
      <c r="G63" s="50" t="n">
        <v>0</v>
      </c>
      <c r="H63" s="50" t="n">
        <v>0</v>
      </c>
      <c r="I63" s="50" t="n">
        <v>0</v>
      </c>
      <c r="J63" s="50" t="n">
        <v>0</v>
      </c>
      <c r="K63" s="50" t="n">
        <v>0</v>
      </c>
      <c r="L63" s="50" t="n">
        <v>0</v>
      </c>
      <c r="M63" s="50" t="n">
        <v>0</v>
      </c>
      <c r="N63" s="50" t="n">
        <v>0</v>
      </c>
      <c r="O63" s="50" t="n">
        <v>0</v>
      </c>
      <c r="P63" s="50" t="n">
        <v>0</v>
      </c>
      <c r="Q63" s="50" t="n">
        <v>0</v>
      </c>
      <c r="R63" s="50" t="n">
        <v>0</v>
      </c>
      <c r="S63" s="50" t="n">
        <v>0</v>
      </c>
      <c r="T63" s="50" t="n">
        <v>0</v>
      </c>
      <c r="U63" s="50" t="n">
        <v>0</v>
      </c>
      <c r="V63" s="50" t="n">
        <v>0</v>
      </c>
      <c r="W63" s="50" t="n">
        <v>0</v>
      </c>
      <c r="X63" s="50" t="n">
        <v>0</v>
      </c>
      <c r="Y63" s="50" t="n">
        <v>0</v>
      </c>
    </row>
    <row r="64" ht="15" customHeight="1" s="10">
      <c r="A64" s="20" t="inlineStr">
        <is>
          <t>Customer Success Hires</t>
        </is>
      </c>
      <c r="B64" s="50" t="n">
        <v>0</v>
      </c>
      <c r="C64" s="50" t="n">
        <v>0</v>
      </c>
      <c r="D64" s="50" t="n">
        <v>0</v>
      </c>
      <c r="E64" s="50" t="n">
        <v>0</v>
      </c>
      <c r="F64" s="50" t="n">
        <v>0</v>
      </c>
      <c r="G64" s="50" t="n">
        <v>0</v>
      </c>
      <c r="H64" s="50" t="n">
        <v>0</v>
      </c>
      <c r="I64" s="50" t="n">
        <v>0</v>
      </c>
      <c r="J64" s="50" t="n">
        <v>1</v>
      </c>
      <c r="K64" s="50" t="n">
        <v>0</v>
      </c>
      <c r="L64" s="50" t="n">
        <v>0</v>
      </c>
      <c r="M64" s="50" t="n">
        <v>0</v>
      </c>
      <c r="N64" s="50" t="n">
        <v>0</v>
      </c>
      <c r="O64" s="50" t="n">
        <v>0</v>
      </c>
      <c r="P64" s="50" t="n">
        <v>0</v>
      </c>
      <c r="Q64" s="50" t="n">
        <v>0</v>
      </c>
      <c r="R64" s="50" t="n">
        <v>0</v>
      </c>
      <c r="S64" s="50" t="n">
        <v>1</v>
      </c>
      <c r="T64" s="50" t="n">
        <v>0</v>
      </c>
      <c r="U64" s="50" t="n">
        <v>0</v>
      </c>
      <c r="V64" s="50" t="n">
        <v>0</v>
      </c>
      <c r="W64" s="50" t="n">
        <v>0</v>
      </c>
      <c r="X64" s="50" t="n">
        <v>0</v>
      </c>
      <c r="Y64" s="50" t="n">
        <v>0</v>
      </c>
    </row>
    <row r="65" ht="15" customHeight="1" s="10">
      <c r="A65" s="20" t="inlineStr">
        <is>
          <t>Customer Success Terms</t>
        </is>
      </c>
      <c r="B65" s="50" t="n">
        <v>0</v>
      </c>
      <c r="C65" s="50" t="n">
        <v>0</v>
      </c>
      <c r="D65" s="50" t="n">
        <v>0</v>
      </c>
      <c r="E65" s="50" t="n">
        <v>0</v>
      </c>
      <c r="F65" s="50" t="n">
        <v>0</v>
      </c>
      <c r="G65" s="50" t="n">
        <v>0</v>
      </c>
      <c r="H65" s="50" t="n">
        <v>0</v>
      </c>
      <c r="I65" s="50" t="n">
        <v>0</v>
      </c>
      <c r="J65" s="50" t="n">
        <v>0</v>
      </c>
      <c r="K65" s="50" t="n">
        <v>0</v>
      </c>
      <c r="L65" s="50" t="n">
        <v>0</v>
      </c>
      <c r="M65" s="50" t="n">
        <v>0</v>
      </c>
      <c r="N65" s="50" t="n">
        <v>0</v>
      </c>
      <c r="O65" s="50" t="n">
        <v>0</v>
      </c>
      <c r="P65" s="50" t="n">
        <v>0</v>
      </c>
      <c r="Q65" s="50" t="n">
        <v>0</v>
      </c>
      <c r="R65" s="50" t="n">
        <v>0</v>
      </c>
      <c r="S65" s="50" t="n">
        <v>0</v>
      </c>
      <c r="T65" s="50" t="n">
        <v>0</v>
      </c>
      <c r="U65" s="50" t="n">
        <v>0</v>
      </c>
      <c r="V65" s="50" t="n">
        <v>0</v>
      </c>
      <c r="W65" s="50" t="n">
        <v>0</v>
      </c>
      <c r="X65" s="50" t="n">
        <v>0</v>
      </c>
      <c r="Y65" s="50" t="n">
        <v>0</v>
      </c>
    </row>
    <row r="68" ht="15" customHeight="1" s="10">
      <c r="A68" s="31" t="inlineStr">
        <is>
          <t>4. Monthly Debt Inputs</t>
        </is>
      </c>
      <c r="B68" s="31" t="n"/>
      <c r="C68" s="31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1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1" t="n"/>
    </row>
    <row r="69" ht="15" customHeight="1" s="10">
      <c r="A69" s="34" t="inlineStr">
        <is>
          <t>Debt Input</t>
        </is>
      </c>
      <c r="B69" s="49">
        <f>Data_Entry!B51</f>
        <v/>
      </c>
      <c r="C69" s="49">
        <f>Data_Entry!C51</f>
        <v/>
      </c>
      <c r="D69" s="49">
        <f>Data_Entry!D51</f>
        <v/>
      </c>
      <c r="E69" s="49">
        <f>Data_Entry!E51</f>
        <v/>
      </c>
      <c r="F69" s="49">
        <f>Data_Entry!F51</f>
        <v/>
      </c>
      <c r="G69" s="49">
        <f>Data_Entry!G51</f>
        <v/>
      </c>
      <c r="H69" s="49">
        <f>Data_Entry!H51</f>
        <v/>
      </c>
      <c r="I69" s="49">
        <f>Data_Entry!I51</f>
        <v/>
      </c>
      <c r="J69" s="49">
        <f>Data_Entry!J51</f>
        <v/>
      </c>
      <c r="K69" s="49">
        <f>Data_Entry!K51</f>
        <v/>
      </c>
      <c r="L69" s="49">
        <f>Data_Entry!L51</f>
        <v/>
      </c>
      <c r="M69" s="49">
        <f>Data_Entry!M51</f>
        <v/>
      </c>
      <c r="N69" s="49">
        <f>Data_Entry!N51</f>
        <v/>
      </c>
      <c r="O69" s="49">
        <f>Data_Entry!O51</f>
        <v/>
      </c>
      <c r="P69" s="49">
        <f>Data_Entry!P51</f>
        <v/>
      </c>
      <c r="Q69" s="49">
        <f>Data_Entry!Q51</f>
        <v/>
      </c>
      <c r="R69" s="49">
        <f>Data_Entry!R51</f>
        <v/>
      </c>
      <c r="S69" s="49">
        <f>Data_Entry!S51</f>
        <v/>
      </c>
      <c r="T69" s="49">
        <f>Data_Entry!T51</f>
        <v/>
      </c>
      <c r="U69" s="49">
        <f>Data_Entry!U51</f>
        <v/>
      </c>
      <c r="V69" s="49">
        <f>Data_Entry!V51</f>
        <v/>
      </c>
      <c r="W69" s="49">
        <f>Data_Entry!W51</f>
        <v/>
      </c>
      <c r="X69" s="49">
        <f>Data_Entry!X51</f>
        <v/>
      </c>
      <c r="Y69" s="49">
        <f>Data_Entry!Y51</f>
        <v/>
      </c>
    </row>
    <row r="70" ht="15" customHeight="1" s="10">
      <c r="A70" s="20" t="inlineStr">
        <is>
          <t>Debt Draws</t>
        </is>
      </c>
      <c r="B70" s="51" t="n">
        <v>0</v>
      </c>
      <c r="C70" s="51" t="n">
        <v>0</v>
      </c>
      <c r="D70" s="51" t="n">
        <v>0</v>
      </c>
      <c r="E70" s="51" t="n">
        <v>0</v>
      </c>
      <c r="F70" s="51" t="n">
        <v>0</v>
      </c>
      <c r="G70" s="51" t="n">
        <v>0</v>
      </c>
      <c r="H70" s="51" t="n">
        <v>0</v>
      </c>
      <c r="I70" s="51" t="n">
        <v>0</v>
      </c>
      <c r="J70" s="51" t="n">
        <v>0</v>
      </c>
      <c r="K70" s="51" t="n">
        <v>0</v>
      </c>
      <c r="L70" s="51" t="n">
        <v>0</v>
      </c>
      <c r="M70" s="51" t="n">
        <v>0</v>
      </c>
      <c r="N70" s="51" t="n">
        <v>0</v>
      </c>
      <c r="O70" s="51" t="n">
        <v>0</v>
      </c>
      <c r="P70" s="51" t="n">
        <v>0</v>
      </c>
      <c r="Q70" s="51" t="n">
        <v>0</v>
      </c>
      <c r="R70" s="51" t="n">
        <v>0</v>
      </c>
      <c r="S70" s="51" t="n">
        <v>0</v>
      </c>
      <c r="T70" s="51" t="n">
        <v>0</v>
      </c>
      <c r="U70" s="51" t="n">
        <v>0</v>
      </c>
      <c r="V70" s="51" t="n">
        <v>0</v>
      </c>
      <c r="W70" s="51" t="n">
        <v>0</v>
      </c>
      <c r="X70" s="51" t="n">
        <v>0</v>
      </c>
      <c r="Y70" s="51" t="n">
        <v>0</v>
      </c>
    </row>
    <row r="71" ht="15" customHeight="1" s="10">
      <c r="A71" s="20" t="inlineStr">
        <is>
          <t>Debt Repayments</t>
        </is>
      </c>
      <c r="H71" s="51" t="n">
        <v>0</v>
      </c>
      <c r="I71" s="51" t="n">
        <v>0</v>
      </c>
      <c r="J71" s="51" t="n">
        <v>0</v>
      </c>
      <c r="K71" s="51" t="n">
        <v>0</v>
      </c>
      <c r="L71" s="51" t="n">
        <v>0</v>
      </c>
      <c r="M71" s="51" t="n">
        <v>5000</v>
      </c>
      <c r="N71" s="51" t="n">
        <v>5000</v>
      </c>
      <c r="O71" s="51" t="n">
        <v>5000</v>
      </c>
      <c r="P71" s="51" t="n">
        <v>5000</v>
      </c>
      <c r="Q71" s="51" t="n">
        <v>5000</v>
      </c>
      <c r="R71" s="51" t="n">
        <v>5000</v>
      </c>
      <c r="S71" s="51" t="n">
        <v>5000</v>
      </c>
      <c r="T71" s="51" t="n">
        <v>5000</v>
      </c>
      <c r="U71" s="51" t="n">
        <v>5000</v>
      </c>
      <c r="V71" s="51" t="n">
        <v>5000</v>
      </c>
      <c r="W71" s="51" t="n">
        <v>5000</v>
      </c>
      <c r="X71" s="51" t="n">
        <v>5000</v>
      </c>
      <c r="Y71" s="51" t="n">
        <v>5000</v>
      </c>
    </row>
    <row r="72" ht="15" customHeight="1" s="10"/>
    <row r="73" ht="15" customHeight="1" s="10"/>
    <row r="74" ht="15" customHeight="1" s="10">
      <c r="A74" s="31" t="inlineStr">
        <is>
          <t>5. Input Notes</t>
        </is>
      </c>
      <c r="B74" s="145" t="n"/>
      <c r="C74" s="145" t="n"/>
      <c r="D74" s="145" t="n"/>
      <c r="E74" s="145" t="n"/>
      <c r="F74" s="145" t="n"/>
      <c r="G74" s="145" t="n"/>
    </row>
    <row r="75" ht="15" customHeight="1" s="10">
      <c r="A75" s="30" t="inlineStr">
        <is>
          <t>Edit only yellow cells on this sheet.</t>
        </is>
      </c>
    </row>
    <row r="76" ht="15" customHeight="1" s="10">
      <c r="A76" s="52" t="inlineStr">
        <is>
          <t>Base / Upside / Downside assumptions flow into the entire model automatically.</t>
        </is>
      </c>
    </row>
    <row r="77" ht="27.75" customHeight="1" s="10">
      <c r="A77" s="30" t="inlineStr">
        <is>
          <t>Hiring plan rows feed payroll expense in Headcount and Opex.</t>
        </is>
      </c>
    </row>
    <row r="78" ht="27.75" customHeight="1" s="10">
      <c r="A78" s="30" t="inlineStr">
        <is>
          <t>Debt rows feed debt balance, interest expense, cash flow, and balance sheet.</t>
        </is>
      </c>
    </row>
    <row r="80" ht="68.25" customHeight="1" s="10">
      <c r="A80" s="52" t="inlineStr">
        <is>
          <t>See Input_Source_Map, Client_Request_List, Assumption_Log, and Executive_Summary for source tracking and client-ready delivery support.</t>
        </is>
      </c>
    </row>
  </sheetData>
  <mergeCells count="7">
    <mergeCell ref="A74:G74"/>
    <mergeCell ref="A1:G1"/>
    <mergeCell ref="A2:G2"/>
    <mergeCell ref="A72:G72"/>
    <mergeCell ref="A76:G76"/>
    <mergeCell ref="A71:G71"/>
    <mergeCell ref="A73:G73"/>
  </mergeCells>
  <dataValidations count="1">
    <dataValidation sqref="B5" showDropDown="0" showInputMessage="0" showErrorMessage="0" allowBlank="0" type="list">
      <formula1>"Base,Upside,Downside"</formula1>
      <formula2>0</formula2>
    </dataValidation>
  </dataValidation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zoomScaleNormal="100" workbookViewId="0">
      <selection activeCell="A1" sqref="A1:H1"/>
    </sheetView>
  </sheetViews>
  <sheetFormatPr baseColWidth="8" defaultColWidth="8.7109375" defaultRowHeight="12.75"/>
  <cols>
    <col width="20" customWidth="1" style="10" min="1" max="1"/>
    <col width="18" customWidth="1" style="10" min="2" max="2"/>
    <col width="26" customWidth="1" style="10" min="3" max="3"/>
    <col width="28" customWidth="1" style="10" min="4" max="4"/>
    <col width="36" customWidth="1" style="10" min="5" max="5"/>
    <col width="26" customWidth="1" style="10" min="6" max="6"/>
    <col width="16" customWidth="1" style="10" min="7" max="7"/>
    <col width="38" customWidth="1" style="10" min="8" max="8"/>
  </cols>
  <sheetData>
    <row r="1" ht="24" customHeight="1" s="10">
      <c r="A1" s="7" t="inlineStr">
        <is>
          <t>Input Source Map</t>
        </is>
      </c>
    </row>
    <row r="2" ht="31.5" customHeight="1" s="10">
      <c r="A2" s="52" t="inlineStr">
        <is>
          <t>All current values in Data_Entry are sample demo assumptions. Replace them with client actuals, budget inputs, or management guidance using the source map below.</t>
        </is>
      </c>
    </row>
    <row r="4" ht="19.5" customHeight="1" s="10">
      <c r="A4" s="31" t="inlineStr">
        <is>
          <t>How to Use This Sheet</t>
        </is>
      </c>
      <c r="B4" s="145" t="n"/>
      <c r="C4" s="145" t="n"/>
      <c r="D4" s="145" t="n"/>
      <c r="E4" s="145" t="n"/>
      <c r="F4" s="145" t="n"/>
      <c r="G4" s="145" t="n"/>
      <c r="H4" s="145" t="n"/>
    </row>
    <row r="5" ht="15" customHeight="1" s="10">
      <c r="A5" s="30" t="inlineStr">
        <is>
          <t>1) Update yellow cells on Data_Entry only.</t>
        </is>
      </c>
    </row>
    <row r="6" ht="15" customHeight="1" s="10">
      <c r="A6" s="30" t="inlineStr">
        <is>
          <t>2) Use this sheet to know where each input should come from in a real client project.</t>
        </is>
      </c>
    </row>
    <row r="7" ht="15" customHeight="1" s="10">
      <c r="A7" s="6" t="inlineStr">
        <is>
          <t>3) Typical sources include accounting / ERP, payroll, CRM, board budget, and treasury schedules.</t>
        </is>
      </c>
    </row>
    <row r="9" ht="21.75" customHeight="1" s="10">
      <c r="A9" s="34" t="inlineStr">
        <is>
          <t>Section</t>
        </is>
      </c>
      <c r="B9" s="34" t="inlineStr">
        <is>
          <t>Data_Entry Ref</t>
        </is>
      </c>
      <c r="C9" s="34" t="inlineStr">
        <is>
          <t>Input Item</t>
        </is>
      </c>
      <c r="D9" s="34" t="inlineStr">
        <is>
          <t>Meaning</t>
        </is>
      </c>
      <c r="E9" s="53" t="inlineStr">
        <is>
          <t>Typical Real-World Source</t>
        </is>
      </c>
      <c r="F9" s="34" t="inlineStr">
        <is>
          <t>Typical Owner / System</t>
        </is>
      </c>
      <c r="G9" s="34" t="inlineStr">
        <is>
          <t>Update Timing</t>
        </is>
      </c>
      <c r="H9" s="34" t="inlineStr">
        <is>
          <t>Demo / Portfolio Note</t>
        </is>
      </c>
    </row>
    <row r="10" ht="27.75" customHeight="1" s="10">
      <c r="A10" s="54" t="inlineStr">
        <is>
          <t>Model Controls</t>
        </is>
      </c>
      <c r="B10" s="54" t="inlineStr">
        <is>
          <t>Data_Entry!B5</t>
        </is>
      </c>
      <c r="C10" s="54" t="inlineStr">
        <is>
          <t>Selected Scenario</t>
        </is>
      </c>
      <c r="D10" s="54" t="inlineStr">
        <is>
          <t>Chooses Base / Upside / Downside case used by the full model.</t>
        </is>
      </c>
      <c r="E10" s="54" t="inlineStr">
        <is>
          <t>FP&amp;A scenario pack, budget presentation, or management planning deck.</t>
        </is>
      </c>
      <c r="F10" s="54" t="inlineStr">
        <is>
          <t>FP&amp;A Manager / CFO</t>
        </is>
      </c>
      <c r="G10" s="54" t="inlineStr">
        <is>
          <t>When presenting cases</t>
        </is>
      </c>
      <c r="H10" s="54" t="inlineStr">
        <is>
          <t>Current workbook is preloaded to Base for demo purposes.</t>
        </is>
      </c>
    </row>
    <row r="11" ht="27.75" customHeight="1" s="10">
      <c r="A11" s="55" t="inlineStr">
        <is>
          <t>Opening Balance</t>
        </is>
      </c>
      <c r="B11" s="55" t="inlineStr">
        <is>
          <t>Data_Entry!B11:D11</t>
        </is>
      </c>
      <c r="C11" s="55" t="inlineStr">
        <is>
          <t>Model Start Date</t>
        </is>
      </c>
      <c r="D11" s="55" t="inlineStr">
        <is>
          <t>First forecast month.</t>
        </is>
      </c>
      <c r="E11" s="55" t="inlineStr">
        <is>
          <t>Forecast calendar agreed with management or budget cycle.</t>
        </is>
      </c>
      <c r="F11" s="55" t="inlineStr">
        <is>
          <t>FP&amp;A</t>
        </is>
      </c>
      <c r="G11" s="55" t="inlineStr">
        <is>
          <t>Once per model build</t>
        </is>
      </c>
      <c r="H11" s="55" t="inlineStr">
        <is>
          <t>Usually fixed at kickoff.</t>
        </is>
      </c>
    </row>
    <row r="12" ht="27.75" customHeight="1" s="10">
      <c r="A12" s="54" t="inlineStr">
        <is>
          <t>Opening Balance</t>
        </is>
      </c>
      <c r="B12" s="54" t="inlineStr">
        <is>
          <t>Data_Entry!B12:D12</t>
        </is>
      </c>
      <c r="C12" s="54" t="inlineStr">
        <is>
          <t>Initial Cash</t>
        </is>
      </c>
      <c r="D12" s="54" t="inlineStr">
        <is>
          <t>Opening cash balance.</t>
        </is>
      </c>
      <c r="E12" s="54" t="inlineStr">
        <is>
          <t>Latest balance sheet, bank statement, or trial balance.</t>
        </is>
      </c>
      <c r="F12" s="54" t="inlineStr">
        <is>
          <t>Controller / Treasury / ERP</t>
        </is>
      </c>
      <c r="G12" s="54" t="inlineStr">
        <is>
          <t>Monthly close</t>
        </is>
      </c>
      <c r="H12" s="54" t="inlineStr">
        <is>
          <t>Replace demo number with month-end actuals.</t>
        </is>
      </c>
    </row>
    <row r="13" ht="27.75" customHeight="1" s="10">
      <c r="A13" s="55" t="inlineStr">
        <is>
          <t>Opening Balance</t>
        </is>
      </c>
      <c r="B13" s="55" t="inlineStr">
        <is>
          <t>Data_Entry!B13:D13</t>
        </is>
      </c>
      <c r="C13" s="55" t="inlineStr">
        <is>
          <t>Initial AR</t>
        </is>
      </c>
      <c r="D13" s="55" t="inlineStr">
        <is>
          <t>Opening accounts receivable.</t>
        </is>
      </c>
      <c r="E13" s="55" t="inlineStr">
        <is>
          <t>AR aging report or latest balance sheet.</t>
        </is>
      </c>
      <c r="F13" s="55" t="inlineStr">
        <is>
          <t>Accounting / ERP</t>
        </is>
      </c>
      <c r="G13" s="55" t="inlineStr">
        <is>
          <t>Monthly close</t>
        </is>
      </c>
      <c r="H13" s="55" t="inlineStr">
        <is>
          <t>Should tie to AR aging.</t>
        </is>
      </c>
    </row>
    <row r="14" ht="27.75" customHeight="1" s="10">
      <c r="A14" s="54" t="inlineStr">
        <is>
          <t>Opening Balance</t>
        </is>
      </c>
      <c r="B14" s="54" t="inlineStr">
        <is>
          <t>Data_Entry!B14:D14</t>
        </is>
      </c>
      <c r="C14" s="54" t="inlineStr">
        <is>
          <t>Initial Net PP&amp;E</t>
        </is>
      </c>
      <c r="D14" s="54" t="inlineStr">
        <is>
          <t>Opening net fixed assets.</t>
        </is>
      </c>
      <c r="E14" s="54" t="inlineStr">
        <is>
          <t>Fixed asset register or latest balance sheet.</t>
        </is>
      </c>
      <c r="F14" s="54" t="inlineStr">
        <is>
          <t>Accounting / ERP</t>
        </is>
      </c>
      <c r="G14" s="54" t="inlineStr">
        <is>
          <t>Monthly close</t>
        </is>
      </c>
      <c r="H14" s="54" t="inlineStr">
        <is>
          <t>Tie to fixed asset schedule.</t>
        </is>
      </c>
    </row>
    <row r="15" ht="27.75" customHeight="1" s="10">
      <c r="A15" s="55" t="inlineStr">
        <is>
          <t>Opening Balance</t>
        </is>
      </c>
      <c r="B15" s="55" t="inlineStr">
        <is>
          <t>Data_Entry!B15:D15</t>
        </is>
      </c>
      <c r="C15" s="55" t="inlineStr">
        <is>
          <t>Initial AP</t>
        </is>
      </c>
      <c r="D15" s="55" t="inlineStr">
        <is>
          <t>Opening accounts payable.</t>
        </is>
      </c>
      <c r="E15" s="55" t="inlineStr">
        <is>
          <t>AP aging report or latest balance sheet.</t>
        </is>
      </c>
      <c r="F15" s="55" t="inlineStr">
        <is>
          <t>Accounting / ERP</t>
        </is>
      </c>
      <c r="G15" s="55" t="inlineStr">
        <is>
          <t>Monthly close</t>
        </is>
      </c>
      <c r="H15" s="55" t="inlineStr">
        <is>
          <t>Should tie to AP aging.</t>
        </is>
      </c>
    </row>
    <row r="16" ht="27.75" customHeight="1" s="10">
      <c r="A16" s="54" t="inlineStr">
        <is>
          <t>Opening Balance</t>
        </is>
      </c>
      <c r="B16" s="54" t="inlineStr">
        <is>
          <t>Data_Entry!B16:D16</t>
        </is>
      </c>
      <c r="C16" s="54" t="inlineStr">
        <is>
          <t>Initial Debt</t>
        </is>
      </c>
      <c r="D16" s="54" t="inlineStr">
        <is>
          <t>Opening interest-bearing debt.</t>
        </is>
      </c>
      <c r="E16" s="54" t="inlineStr">
        <is>
          <t>Debt schedule, loan statement, or balance sheet.</t>
        </is>
      </c>
      <c r="F16" s="54" t="inlineStr">
        <is>
          <t>Treasury / Controller</t>
        </is>
      </c>
      <c r="G16" s="54" t="inlineStr">
        <is>
          <t>Monthly close</t>
        </is>
      </c>
      <c r="H16" s="54" t="inlineStr">
        <is>
          <t>Tie to lender statements.</t>
        </is>
      </c>
    </row>
    <row r="17" ht="27.75" customHeight="1" s="10">
      <c r="A17" s="55" t="inlineStr">
        <is>
          <t>Opening Balance</t>
        </is>
      </c>
      <c r="B17" s="55" t="inlineStr">
        <is>
          <t>Data_Entry!B17:D17</t>
        </is>
      </c>
      <c r="C17" s="55" t="inlineStr">
        <is>
          <t>Share Capital</t>
        </is>
      </c>
      <c r="D17" s="55" t="inlineStr">
        <is>
          <t>Opening contributed equity.</t>
        </is>
      </c>
      <c r="E17" s="55" t="inlineStr">
        <is>
          <t>Balance sheet or prior audited financials.</t>
        </is>
      </c>
      <c r="F17" s="55" t="inlineStr">
        <is>
          <t>Controller</t>
        </is>
      </c>
      <c r="G17" s="55" t="inlineStr">
        <is>
          <t>Rarely changes</t>
        </is>
      </c>
      <c r="H17" s="55" t="inlineStr">
        <is>
          <t>Usually static unless equity event occurs.</t>
        </is>
      </c>
    </row>
    <row r="18" ht="27.75" customHeight="1" s="10">
      <c r="A18" s="54" t="inlineStr">
        <is>
          <t>Opening Balance</t>
        </is>
      </c>
      <c r="B18" s="54" t="inlineStr">
        <is>
          <t>Data_Entry!B18:D18</t>
        </is>
      </c>
      <c r="C18" s="54" t="inlineStr">
        <is>
          <t>Opening Retained Earnings</t>
        </is>
      </c>
      <c r="D18" s="54" t="inlineStr">
        <is>
          <t>Accumulated earnings brought forward.</t>
        </is>
      </c>
      <c r="E18" s="54" t="inlineStr">
        <is>
          <t>Balance sheet or prior period close file.</t>
        </is>
      </c>
      <c r="F18" s="54" t="inlineStr">
        <is>
          <t>Controller</t>
        </is>
      </c>
      <c r="G18" s="54" t="inlineStr">
        <is>
          <t>Monthly close</t>
        </is>
      </c>
      <c r="H18" s="54" t="inlineStr">
        <is>
          <t>Should roll from prior closing retained earnings.</t>
        </is>
      </c>
    </row>
    <row r="19" ht="27.75" customHeight="1" s="10">
      <c r="A19" s="55" t="inlineStr">
        <is>
          <t>Revenue Drivers</t>
        </is>
      </c>
      <c r="B19" s="55" t="inlineStr">
        <is>
          <t>Data_Entry!B19:D19</t>
        </is>
      </c>
      <c r="C19" s="55" t="inlineStr">
        <is>
          <t>Beginning Customers</t>
        </is>
      </c>
      <c r="D19" s="55" t="inlineStr">
        <is>
          <t>Opening active customer count.</t>
        </is>
      </c>
      <c r="E19" s="55" t="inlineStr">
        <is>
          <t>CRM, billing system, or subscription report.</t>
        </is>
      </c>
      <c r="F19" s="55" t="inlineStr">
        <is>
          <t>Revenue Ops / CRM / Billing</t>
        </is>
      </c>
      <c r="G19" s="55" t="inlineStr">
        <is>
          <t>Monthly close</t>
        </is>
      </c>
      <c r="H19" s="55" t="inlineStr">
        <is>
          <t>Tie to start-of-period customer base.</t>
        </is>
      </c>
    </row>
    <row r="20" ht="27.75" customHeight="1" s="10">
      <c r="A20" s="54" t="inlineStr">
        <is>
          <t>Revenue Drivers</t>
        </is>
      </c>
      <c r="B20" s="54" t="inlineStr">
        <is>
          <t>Data_Entry!B20:D20</t>
        </is>
      </c>
      <c r="C20" s="54" t="inlineStr">
        <is>
          <t>Monthly New Customers</t>
        </is>
      </c>
      <c r="D20" s="54" t="inlineStr">
        <is>
          <t>Average monthly gross customer adds.</t>
        </is>
      </c>
      <c r="E20" s="54" t="inlineStr">
        <is>
          <t>Sales pipeline, bookings plan, or historical conversion trend.</t>
        </is>
      </c>
      <c r="F20" s="54" t="inlineStr">
        <is>
          <t>Sales Ops / FP&amp;A / CRM</t>
        </is>
      </c>
      <c r="G20" s="54" t="inlineStr">
        <is>
          <t>Monthly or reforecast</t>
        </is>
      </c>
      <c r="H20" s="54" t="inlineStr">
        <is>
          <t>Often linked to sales target.</t>
        </is>
      </c>
    </row>
    <row r="21" ht="27.75" customHeight="1" s="10">
      <c r="A21" s="55" t="inlineStr">
        <is>
          <t>Revenue Drivers</t>
        </is>
      </c>
      <c r="B21" s="55" t="inlineStr">
        <is>
          <t>Data_Entry!B21:D21</t>
        </is>
      </c>
      <c r="C21" s="55" t="inlineStr">
        <is>
          <t>Monthly Churn %</t>
        </is>
      </c>
      <c r="D21" s="55" t="inlineStr">
        <is>
          <t>Monthly customer loss rate.</t>
        </is>
      </c>
      <c r="E21" s="55" t="inlineStr">
        <is>
          <t>Historical retention report or billing cancellations.</t>
        </is>
      </c>
      <c r="F21" s="55" t="inlineStr">
        <is>
          <t>Customer Success / Revenue Ops</t>
        </is>
      </c>
      <c r="G21" s="55" t="inlineStr">
        <is>
          <t>Monthly or reforecast</t>
        </is>
      </c>
      <c r="H21" s="55" t="inlineStr">
        <is>
          <t>Use trailing actuals plus management view.</t>
        </is>
      </c>
    </row>
    <row r="22" ht="27.75" customHeight="1" s="10">
      <c r="A22" s="54" t="inlineStr">
        <is>
          <t>Revenue Drivers</t>
        </is>
      </c>
      <c r="B22" s="54" t="inlineStr">
        <is>
          <t>Data_Entry!B22:D22</t>
        </is>
      </c>
      <c r="C22" s="54" t="inlineStr">
        <is>
          <t>Starting ARPU</t>
        </is>
      </c>
      <c r="D22" s="54" t="inlineStr">
        <is>
          <t>Average revenue per customer per month.</t>
        </is>
      </c>
      <c r="E22" s="54" t="inlineStr">
        <is>
          <t>Billing system, invoicing data, or pricing report.</t>
        </is>
      </c>
      <c r="F22" s="54" t="inlineStr">
        <is>
          <t>Billing / RevOps / FP&amp;A</t>
        </is>
      </c>
      <c r="G22" s="54" t="inlineStr">
        <is>
          <t>Monthly close</t>
        </is>
      </c>
      <c r="H22" s="54" t="inlineStr">
        <is>
          <t>Should reconcile to recurring revenue base.</t>
        </is>
      </c>
    </row>
    <row r="23" ht="27.75" customHeight="1" s="10">
      <c r="A23" s="55" t="inlineStr">
        <is>
          <t>Revenue Drivers</t>
        </is>
      </c>
      <c r="B23" s="55" t="inlineStr">
        <is>
          <t>Data_Entry!B23:D23</t>
        </is>
      </c>
      <c r="C23" s="55" t="inlineStr">
        <is>
          <t>Annual Price Uplift %</t>
        </is>
      </c>
      <c r="D23" s="55" t="inlineStr">
        <is>
          <t>Planned annual increase in ARPU.</t>
        </is>
      </c>
      <c r="E23" s="56" t="inlineStr">
        <is>
          <t>Pricing strategy, contract terms, or budget assumptions.</t>
        </is>
      </c>
      <c r="F23" s="55" t="inlineStr">
        <is>
          <t>Pricing / Sales / FP&amp;A</t>
        </is>
      </c>
      <c r="G23" s="55" t="inlineStr">
        <is>
          <t>Budget / annual plan</t>
        </is>
      </c>
      <c r="H23" s="56" t="inlineStr">
        <is>
          <t>Management assumption, not purely historical.</t>
        </is>
      </c>
    </row>
    <row r="24" ht="27.75" customHeight="1" s="10">
      <c r="A24" s="54" t="inlineStr">
        <is>
          <t>Revenue Drivers</t>
        </is>
      </c>
      <c r="B24" s="54" t="inlineStr">
        <is>
          <t>Data_Entry!B24:D24</t>
        </is>
      </c>
      <c r="C24" s="54" t="inlineStr">
        <is>
          <t>Implementation Fee / New Customer</t>
        </is>
      </c>
      <c r="D24" s="54" t="inlineStr">
        <is>
          <t>One-time onboarding fee.</t>
        </is>
      </c>
      <c r="E24" s="54" t="inlineStr">
        <is>
          <t>Order forms, contract templates, or invoice history.</t>
        </is>
      </c>
      <c r="F24" s="54" t="inlineStr">
        <is>
          <t>Sales Ops / Legal / Billing</t>
        </is>
      </c>
      <c r="G24" s="54" t="inlineStr">
        <is>
          <t>When pricing changes</t>
        </is>
      </c>
      <c r="H24" s="54" t="inlineStr">
        <is>
          <t>Use actual contract economics where available.</t>
        </is>
      </c>
    </row>
    <row r="25" ht="27.75" customHeight="1" s="10">
      <c r="A25" s="55" t="inlineStr">
        <is>
          <t>Cost &amp; Margin</t>
        </is>
      </c>
      <c r="B25" s="55" t="inlineStr">
        <is>
          <t>Data_Entry!B25:D25</t>
        </is>
      </c>
      <c r="C25" s="55" t="inlineStr">
        <is>
          <t>COGS % Revenue</t>
        </is>
      </c>
      <c r="D25" s="55" t="inlineStr">
        <is>
          <t>Direct delivery cost as a percent of revenue.</t>
        </is>
      </c>
      <c r="E25" s="55" t="inlineStr">
        <is>
          <t>Historical P&amp;L, gross margin analysis, or unit economics file.</t>
        </is>
      </c>
      <c r="F25" s="55" t="inlineStr">
        <is>
          <t>Accounting / FP&amp;A</t>
        </is>
      </c>
      <c r="G25" s="55" t="inlineStr">
        <is>
          <t>Monthly close or reforecast</t>
        </is>
      </c>
      <c r="H25" s="55" t="inlineStr">
        <is>
          <t>Can be replaced by a more detailed driver build later.</t>
        </is>
      </c>
    </row>
    <row r="26" ht="27.75" customHeight="1" s="10">
      <c r="A26" s="54" t="inlineStr">
        <is>
          <t>Payroll</t>
        </is>
      </c>
      <c r="B26" s="54" t="inlineStr">
        <is>
          <t>Data_Entry!B26:D26</t>
        </is>
      </c>
      <c r="C26" s="54" t="inlineStr">
        <is>
          <t>Benefits % Payroll</t>
        </is>
      </c>
      <c r="D26" s="54" t="inlineStr">
        <is>
          <t>Payroll taxes and benefits burden.</t>
        </is>
      </c>
      <c r="E26" s="54" t="inlineStr">
        <is>
          <t>Payroll register, benefits invoices, or HR benefits schedule.</t>
        </is>
      </c>
      <c r="F26" s="54" t="inlineStr">
        <is>
          <t>Payroll / HR / FP&amp;A</t>
        </is>
      </c>
      <c r="G26" s="54" t="inlineStr">
        <is>
          <t>Monthly close</t>
        </is>
      </c>
      <c r="H26" s="54" t="inlineStr">
        <is>
          <t>Often based on trailing payroll burden.</t>
        </is>
      </c>
    </row>
    <row r="27" ht="27.75" customHeight="1" s="10">
      <c r="A27" s="55" t="inlineStr">
        <is>
          <t>Tax</t>
        </is>
      </c>
      <c r="B27" s="55" t="inlineStr">
        <is>
          <t>Data_Entry!B27:D27</t>
        </is>
      </c>
      <c r="C27" s="55" t="inlineStr">
        <is>
          <t>Tax Rate</t>
        </is>
      </c>
      <c r="D27" s="55" t="inlineStr">
        <is>
          <t>Effective tax rate for planning.</t>
        </is>
      </c>
      <c r="E27" s="55" t="inlineStr">
        <is>
          <t>Tax provision, prior returns, or tax advisor guidance.</t>
        </is>
      </c>
      <c r="F27" s="55" t="inlineStr">
        <is>
          <t>Tax / Controller / FP&amp;A</t>
        </is>
      </c>
      <c r="G27" s="55" t="inlineStr">
        <is>
          <t>Quarterly or annual plan</t>
        </is>
      </c>
      <c r="H27" s="55" t="inlineStr">
        <is>
          <t>Planning rate may differ from statutory rate.</t>
        </is>
      </c>
    </row>
    <row r="28" ht="27.75" customHeight="1" s="10">
      <c r="A28" s="54" t="inlineStr">
        <is>
          <t>Working Capital</t>
        </is>
      </c>
      <c r="B28" s="54" t="inlineStr">
        <is>
          <t>Data_Entry!B28:D28</t>
        </is>
      </c>
      <c r="C28" s="54" t="inlineStr">
        <is>
          <t>DSO</t>
        </is>
      </c>
      <c r="D28" s="54" t="inlineStr">
        <is>
          <t>Average collection period in days.</t>
        </is>
      </c>
      <c r="E28" s="54" t="inlineStr">
        <is>
          <t>AR aging analysis and collections history.</t>
        </is>
      </c>
      <c r="F28" s="54" t="inlineStr">
        <is>
          <t>Accounting / Collections / FP&amp;A</t>
        </is>
      </c>
      <c r="G28" s="54" t="inlineStr">
        <is>
          <t>Monthly close</t>
        </is>
      </c>
      <c r="H28" s="54" t="inlineStr">
        <is>
          <t>Use trailing 3-12 month average.</t>
        </is>
      </c>
    </row>
    <row r="29" ht="27.75" customHeight="1" s="10">
      <c r="A29" s="55" t="inlineStr">
        <is>
          <t>Working Capital</t>
        </is>
      </c>
      <c r="B29" s="55" t="inlineStr">
        <is>
          <t>Data_Entry!B29:D29</t>
        </is>
      </c>
      <c r="C29" s="55" t="inlineStr">
        <is>
          <t>DPO</t>
        </is>
      </c>
      <c r="D29" s="55" t="inlineStr">
        <is>
          <t>Average payment period in days.</t>
        </is>
      </c>
      <c r="E29" s="55" t="inlineStr">
        <is>
          <t>AP aging analysis and payment run history.</t>
        </is>
      </c>
      <c r="F29" s="55" t="inlineStr">
        <is>
          <t>Accounting / AP / FP&amp;A</t>
        </is>
      </c>
      <c r="G29" s="55" t="inlineStr">
        <is>
          <t>Monthly close</t>
        </is>
      </c>
      <c r="H29" s="55" t="inlineStr">
        <is>
          <t>Use supplier payment pattern.</t>
        </is>
      </c>
    </row>
    <row r="30" ht="27.75" customHeight="1" s="10">
      <c r="A30" s="54" t="inlineStr">
        <is>
          <t>Financing</t>
        </is>
      </c>
      <c r="B30" s="54" t="inlineStr">
        <is>
          <t>Data_Entry!B30:D30</t>
        </is>
      </c>
      <c r="C30" s="54" t="inlineStr">
        <is>
          <t>Interest Rate</t>
        </is>
      </c>
      <c r="D30" s="54" t="inlineStr">
        <is>
          <t>Average annual debt cost.</t>
        </is>
      </c>
      <c r="E30" s="54" t="inlineStr">
        <is>
          <t>Loan agreement or treasury debt model.</t>
        </is>
      </c>
      <c r="F30" s="54" t="inlineStr">
        <is>
          <t>Treasury / CFO</t>
        </is>
      </c>
      <c r="G30" s="54" t="inlineStr">
        <is>
          <t>When financing changes</t>
        </is>
      </c>
      <c r="H30" s="54" t="inlineStr">
        <is>
          <t>Use blended rate if multiple facilities exist.</t>
        </is>
      </c>
    </row>
    <row r="31" ht="27.75" customHeight="1" s="10">
      <c r="A31" s="55" t="inlineStr">
        <is>
          <t>Capex</t>
        </is>
      </c>
      <c r="B31" s="55" t="inlineStr">
        <is>
          <t>Data_Entry!B31:D31</t>
        </is>
      </c>
      <c r="C31" s="55" t="inlineStr">
        <is>
          <t>Depreciation Life (months)</t>
        </is>
      </c>
      <c r="D31" s="55" t="inlineStr">
        <is>
          <t>Useful life for capitalized assets.</t>
        </is>
      </c>
      <c r="E31" s="55" t="inlineStr">
        <is>
          <t>Accounting policy or fixed asset policy.</t>
        </is>
      </c>
      <c r="F31" s="55" t="inlineStr">
        <is>
          <t>Controller / Accounting Policy</t>
        </is>
      </c>
      <c r="G31" s="55" t="inlineStr">
        <is>
          <t>Rarely changes</t>
        </is>
      </c>
      <c r="H31" s="55" t="inlineStr">
        <is>
          <t>Use policy by asset class if detail is needed.</t>
        </is>
      </c>
    </row>
    <row r="32" ht="27.75" customHeight="1" s="10">
      <c r="A32" s="54" t="inlineStr">
        <is>
          <t>Capex</t>
        </is>
      </c>
      <c r="B32" s="54" t="inlineStr">
        <is>
          <t>Data_Entry!B32:D32</t>
        </is>
      </c>
      <c r="C32" s="54" t="inlineStr">
        <is>
          <t>Capex % Revenue</t>
        </is>
      </c>
      <c r="D32" s="54" t="inlineStr">
        <is>
          <t>Planned capital spending as a percent of revenue.</t>
        </is>
      </c>
      <c r="E32" s="54" t="inlineStr">
        <is>
          <t>Capex budget, IT roadmap, or management plan.</t>
        </is>
      </c>
      <c r="F32" s="54" t="inlineStr">
        <is>
          <t>FP&amp;A / IT / Operations</t>
        </is>
      </c>
      <c r="G32" s="54" t="inlineStr">
        <is>
          <t>Budget / reforecast</t>
        </is>
      </c>
      <c r="H32" s="54" t="inlineStr">
        <is>
          <t>Can be replaced by project-level capex plan.</t>
        </is>
      </c>
    </row>
    <row r="33" ht="27.75" customHeight="1" s="10">
      <c r="A33" s="55" t="inlineStr">
        <is>
          <t>Headcount</t>
        </is>
      </c>
      <c r="B33" s="55" t="inlineStr">
        <is>
          <t>Data_Entry!B33:D33</t>
        </is>
      </c>
      <c r="C33" s="55" t="inlineStr">
        <is>
          <t>Sales Opening HC</t>
        </is>
      </c>
      <c r="D33" s="55" t="inlineStr">
        <is>
          <t>Opening sales headcount.</t>
        </is>
      </c>
      <c r="E33" s="55" t="inlineStr">
        <is>
          <t>HR roster or payroll employee list.</t>
        </is>
      </c>
      <c r="F33" s="55" t="inlineStr">
        <is>
          <t>HR / Payroll / FP&amp;A</t>
        </is>
      </c>
      <c r="G33" s="55" t="inlineStr">
        <is>
          <t>Monthly close</t>
        </is>
      </c>
      <c r="H33" s="55" t="inlineStr">
        <is>
          <t>Tie to approved active employee list.</t>
        </is>
      </c>
    </row>
    <row r="34" ht="27.75" customHeight="1" s="10">
      <c r="A34" s="54" t="inlineStr">
        <is>
          <t>Headcount</t>
        </is>
      </c>
      <c r="B34" s="54" t="inlineStr">
        <is>
          <t>Data_Entry!B34:D34</t>
        </is>
      </c>
      <c r="C34" s="54" t="inlineStr">
        <is>
          <t>Marketing Opening HC</t>
        </is>
      </c>
      <c r="D34" s="54" t="inlineStr">
        <is>
          <t>Opening marketing headcount.</t>
        </is>
      </c>
      <c r="E34" s="54" t="inlineStr">
        <is>
          <t>HR roster or payroll employee list.</t>
        </is>
      </c>
      <c r="F34" s="54" t="inlineStr">
        <is>
          <t>HR / Payroll / FP&amp;A</t>
        </is>
      </c>
      <c r="G34" s="54" t="inlineStr">
        <is>
          <t>Monthly close</t>
        </is>
      </c>
      <c r="H34" s="54" t="inlineStr">
        <is>
          <t>Tie to approved active employee list.</t>
        </is>
      </c>
    </row>
    <row r="35" ht="27.75" customHeight="1" s="10">
      <c r="A35" s="55" t="inlineStr">
        <is>
          <t>Headcount</t>
        </is>
      </c>
      <c r="B35" s="55" t="inlineStr">
        <is>
          <t>Data_Entry!B35:D35</t>
        </is>
      </c>
      <c r="C35" s="55" t="inlineStr">
        <is>
          <t>R&amp;D Opening HC</t>
        </is>
      </c>
      <c r="D35" s="55" t="inlineStr">
        <is>
          <t>Opening R&amp;D headcount.</t>
        </is>
      </c>
      <c r="E35" s="55" t="inlineStr">
        <is>
          <t>HR roster or payroll employee list.</t>
        </is>
      </c>
      <c r="F35" s="55" t="inlineStr">
        <is>
          <t>HR / Payroll / FP&amp;A</t>
        </is>
      </c>
      <c r="G35" s="55" t="inlineStr">
        <is>
          <t>Monthly close</t>
        </is>
      </c>
      <c r="H35" s="55" t="inlineStr">
        <is>
          <t>Tie to approved active employee list.</t>
        </is>
      </c>
    </row>
    <row r="36" ht="27.75" customHeight="1" s="10">
      <c r="A36" s="54" t="inlineStr">
        <is>
          <t>Headcount</t>
        </is>
      </c>
      <c r="B36" s="54" t="inlineStr">
        <is>
          <t>Data_Entry!B36:D36</t>
        </is>
      </c>
      <c r="C36" s="54" t="inlineStr">
        <is>
          <t>G&amp;A Opening HC</t>
        </is>
      </c>
      <c r="D36" s="54" t="inlineStr">
        <is>
          <t>Opening G&amp;A headcount.</t>
        </is>
      </c>
      <c r="E36" s="54" t="inlineStr">
        <is>
          <t>HR roster or payroll employee list.</t>
        </is>
      </c>
      <c r="F36" s="54" t="inlineStr">
        <is>
          <t>HR / Payroll / FP&amp;A</t>
        </is>
      </c>
      <c r="G36" s="54" t="inlineStr">
        <is>
          <t>Monthly close</t>
        </is>
      </c>
      <c r="H36" s="54" t="inlineStr">
        <is>
          <t>Tie to approved active employee list.</t>
        </is>
      </c>
    </row>
    <row r="37" ht="27.75" customHeight="1" s="10">
      <c r="A37" s="55" t="inlineStr">
        <is>
          <t>Headcount</t>
        </is>
      </c>
      <c r="B37" s="55" t="inlineStr">
        <is>
          <t>Data_Entry!B37:D37</t>
        </is>
      </c>
      <c r="C37" s="55" t="inlineStr">
        <is>
          <t>Customer Success Opening HC</t>
        </is>
      </c>
      <c r="D37" s="55" t="inlineStr">
        <is>
          <t>Opening customer success headcount.</t>
        </is>
      </c>
      <c r="E37" s="55" t="inlineStr">
        <is>
          <t>HR roster or payroll employee list.</t>
        </is>
      </c>
      <c r="F37" s="55" t="inlineStr">
        <is>
          <t>HR / Payroll / FP&amp;A</t>
        </is>
      </c>
      <c r="G37" s="55" t="inlineStr">
        <is>
          <t>Monthly close</t>
        </is>
      </c>
      <c r="H37" s="55" t="inlineStr">
        <is>
          <t>Tie to approved active employee list.</t>
        </is>
      </c>
    </row>
    <row r="38" ht="27.75" customHeight="1" s="10">
      <c r="A38" s="54" t="inlineStr">
        <is>
          <t>Payroll</t>
        </is>
      </c>
      <c r="B38" s="54" t="inlineStr">
        <is>
          <t>Data_Entry!B38:D38</t>
        </is>
      </c>
      <c r="C38" s="54" t="inlineStr">
        <is>
          <t>Sales Salary</t>
        </is>
      </c>
      <c r="D38" s="54" t="inlineStr">
        <is>
          <t>Average annual base salary for sales.</t>
        </is>
      </c>
      <c r="E38" s="54" t="inlineStr">
        <is>
          <t>Payroll register or compensation planning file.</t>
        </is>
      </c>
      <c r="F38" s="54" t="inlineStr">
        <is>
          <t>HR / Payroll / FP&amp;A</t>
        </is>
      </c>
      <c r="G38" s="54" t="inlineStr">
        <is>
          <t>Budget / reforecast</t>
        </is>
      </c>
      <c r="H38" s="54" t="inlineStr">
        <is>
          <t>Use loaded salary by role if available.</t>
        </is>
      </c>
    </row>
    <row r="39" ht="27.75" customHeight="1" s="10">
      <c r="A39" s="55" t="inlineStr">
        <is>
          <t>Payroll</t>
        </is>
      </c>
      <c r="B39" s="55" t="inlineStr">
        <is>
          <t>Data_Entry!B39:D39</t>
        </is>
      </c>
      <c r="C39" s="55" t="inlineStr">
        <is>
          <t>Marketing Salary</t>
        </is>
      </c>
      <c r="D39" s="55" t="inlineStr">
        <is>
          <t>Average annual base salary for marketing.</t>
        </is>
      </c>
      <c r="E39" s="55" t="inlineStr">
        <is>
          <t>Payroll register or compensation planning file.</t>
        </is>
      </c>
      <c r="F39" s="55" t="inlineStr">
        <is>
          <t>HR / Payroll / FP&amp;A</t>
        </is>
      </c>
      <c r="G39" s="55" t="inlineStr">
        <is>
          <t>Budget / reforecast</t>
        </is>
      </c>
      <c r="H39" s="55" t="inlineStr">
        <is>
          <t>Use loaded salary by role if available.</t>
        </is>
      </c>
    </row>
    <row r="40" ht="27.75" customHeight="1" s="10">
      <c r="A40" s="54" t="inlineStr">
        <is>
          <t>Payroll</t>
        </is>
      </c>
      <c r="B40" s="54" t="inlineStr">
        <is>
          <t>Data_Entry!B40:D40</t>
        </is>
      </c>
      <c r="C40" s="54" t="inlineStr">
        <is>
          <t>R&amp;D Salary</t>
        </is>
      </c>
      <c r="D40" s="54" t="inlineStr">
        <is>
          <t>Average annual base salary for R&amp;D.</t>
        </is>
      </c>
      <c r="E40" s="54" t="inlineStr">
        <is>
          <t>Payroll register or compensation planning file.</t>
        </is>
      </c>
      <c r="F40" s="54" t="inlineStr">
        <is>
          <t>HR / Payroll / FP&amp;A</t>
        </is>
      </c>
      <c r="G40" s="54" t="inlineStr">
        <is>
          <t>Budget / reforecast</t>
        </is>
      </c>
      <c r="H40" s="54" t="inlineStr">
        <is>
          <t>Use loaded salary by role if available.</t>
        </is>
      </c>
    </row>
    <row r="41" ht="27.75" customHeight="1" s="10">
      <c r="A41" s="55" t="inlineStr">
        <is>
          <t>Payroll</t>
        </is>
      </c>
      <c r="B41" s="55" t="inlineStr">
        <is>
          <t>Data_Entry!B41:D41</t>
        </is>
      </c>
      <c r="C41" s="55" t="inlineStr">
        <is>
          <t>G&amp;A Salary</t>
        </is>
      </c>
      <c r="D41" s="55" t="inlineStr">
        <is>
          <t>Average annual base salary for G&amp;A.</t>
        </is>
      </c>
      <c r="E41" s="55" t="inlineStr">
        <is>
          <t>Payroll register or compensation planning file.</t>
        </is>
      </c>
      <c r="F41" s="55" t="inlineStr">
        <is>
          <t>HR / Payroll / FP&amp;A</t>
        </is>
      </c>
      <c r="G41" s="55" t="inlineStr">
        <is>
          <t>Budget / reforecast</t>
        </is>
      </c>
      <c r="H41" s="55" t="inlineStr">
        <is>
          <t>Use loaded salary by role if available.</t>
        </is>
      </c>
    </row>
    <row r="42" ht="27.75" customHeight="1" s="10">
      <c r="A42" s="54" t="inlineStr">
        <is>
          <t>Payroll</t>
        </is>
      </c>
      <c r="B42" s="54" t="inlineStr">
        <is>
          <t>Data_Entry!B42:D42</t>
        </is>
      </c>
      <c r="C42" s="54" t="inlineStr">
        <is>
          <t>Customer Success Salary</t>
        </is>
      </c>
      <c r="D42" s="54" t="inlineStr">
        <is>
          <t>Average annual base salary for customer success.</t>
        </is>
      </c>
      <c r="E42" s="54" t="inlineStr">
        <is>
          <t>Payroll register or compensation planning file.</t>
        </is>
      </c>
      <c r="F42" s="54" t="inlineStr">
        <is>
          <t>HR / Payroll / FP&amp;A</t>
        </is>
      </c>
      <c r="G42" s="54" t="inlineStr">
        <is>
          <t>Budget / reforecast</t>
        </is>
      </c>
      <c r="H42" s="54" t="inlineStr">
        <is>
          <t>Use loaded salary by role if available.</t>
        </is>
      </c>
    </row>
    <row r="43" ht="27.75" customHeight="1" s="10">
      <c r="A43" s="55" t="inlineStr">
        <is>
          <t>Operating Expenses</t>
        </is>
      </c>
      <c r="B43" s="55" t="inlineStr">
        <is>
          <t>Data_Entry!B43:D43</t>
        </is>
      </c>
      <c r="C43" s="55" t="inlineStr">
        <is>
          <t>Marketing Programs % Revenue</t>
        </is>
      </c>
      <c r="D43" s="55" t="inlineStr">
        <is>
          <t>Variable demand generation spend.</t>
        </is>
      </c>
      <c r="E43" s="55" t="inlineStr">
        <is>
          <t>Marketing budget, historical spend, or CAC plan.</t>
        </is>
      </c>
      <c r="F43" s="55" t="inlineStr">
        <is>
          <t>Marketing / FP&amp;A</t>
        </is>
      </c>
      <c r="G43" s="55" t="inlineStr">
        <is>
          <t>Monthly or reforecast</t>
        </is>
      </c>
      <c r="H43" s="55" t="inlineStr">
        <is>
          <t>Often updated after pipeline review.</t>
        </is>
      </c>
    </row>
    <row r="44" ht="27.75" customHeight="1" s="10">
      <c r="A44" s="54" t="inlineStr">
        <is>
          <t>Operating Expenses</t>
        </is>
      </c>
      <c r="B44" s="54" t="inlineStr">
        <is>
          <t>Data_Entry!B44:D44</t>
        </is>
      </c>
      <c r="C44" s="54" t="inlineStr">
        <is>
          <t>Software / month</t>
        </is>
      </c>
      <c r="D44" s="54" t="inlineStr">
        <is>
          <t>Recurring software and SaaS tools.</t>
        </is>
      </c>
      <c r="E44" s="54" t="inlineStr">
        <is>
          <t>AP ledger, vendor contracts, or software budget.</t>
        </is>
      </c>
      <c r="F44" s="54" t="inlineStr">
        <is>
          <t>IT / AP / FP&amp;A</t>
        </is>
      </c>
      <c r="G44" s="54" t="inlineStr">
        <is>
          <t>Monthly close</t>
        </is>
      </c>
      <c r="H44" s="54" t="inlineStr">
        <is>
          <t>Tie to recurring vendor commitments.</t>
        </is>
      </c>
    </row>
    <row r="45" ht="27.75" customHeight="1" s="10">
      <c r="A45" s="55" t="inlineStr">
        <is>
          <t>Operating Expenses</t>
        </is>
      </c>
      <c r="B45" s="55" t="inlineStr">
        <is>
          <t>Data_Entry!B45:D45</t>
        </is>
      </c>
      <c r="C45" s="55" t="inlineStr">
        <is>
          <t>Rent / month</t>
        </is>
      </c>
      <c r="D45" s="55" t="inlineStr">
        <is>
          <t>Office or facilities cost.</t>
        </is>
      </c>
      <c r="E45" s="55" t="inlineStr">
        <is>
          <t>Lease schedule, AP ledger, or facilities budget.</t>
        </is>
      </c>
      <c r="F45" s="55" t="inlineStr">
        <is>
          <t>Facilities / AP / FP&amp;A</t>
        </is>
      </c>
      <c r="G45" s="55" t="inlineStr">
        <is>
          <t>Monthly close</t>
        </is>
      </c>
      <c r="H45" s="55" t="inlineStr">
        <is>
          <t>Usually fixed by lease terms.</t>
        </is>
      </c>
    </row>
    <row r="46" ht="27.75" customHeight="1" s="10">
      <c r="A46" s="54" t="inlineStr">
        <is>
          <t>Operating Expenses</t>
        </is>
      </c>
      <c r="B46" s="54" t="inlineStr">
        <is>
          <t>Data_Entry!B46:D46</t>
        </is>
      </c>
      <c r="C46" s="54" t="inlineStr">
        <is>
          <t>Travel % Revenue</t>
        </is>
      </c>
      <c r="D46" s="54" t="inlineStr">
        <is>
          <t>Travel and entertainment spend rate.</t>
        </is>
      </c>
      <c r="E46" s="54" t="inlineStr">
        <is>
          <t>Historical T&amp;E spend, travel policy, or sales coverage plan.</t>
        </is>
      </c>
      <c r="F46" s="54" t="inlineStr">
        <is>
          <t>FP&amp;A / Sales / AP</t>
        </is>
      </c>
      <c r="G46" s="54" t="inlineStr">
        <is>
          <t>Monthly or reforecast</t>
        </is>
      </c>
      <c r="H46" s="54" t="inlineStr">
        <is>
          <t>May be seasonally adjusted.</t>
        </is>
      </c>
    </row>
    <row r="47" ht="27.75" customHeight="1" s="10">
      <c r="A47" s="55" t="inlineStr">
        <is>
          <t>Operating Expenses</t>
        </is>
      </c>
      <c r="B47" s="55" t="inlineStr">
        <is>
          <t>Data_Entry!B47:D47</t>
        </is>
      </c>
      <c r="C47" s="55" t="inlineStr">
        <is>
          <t>Other G&amp;A / month</t>
        </is>
      </c>
      <c r="D47" s="55" t="inlineStr">
        <is>
          <t>Residual administrative spend.</t>
        </is>
      </c>
      <c r="E47" s="55" t="inlineStr">
        <is>
          <t>AP ledger, budget detail, or departmental spend plan.</t>
        </is>
      </c>
      <c r="F47" s="55" t="inlineStr">
        <is>
          <t>Controller / FP&amp;A</t>
        </is>
      </c>
      <c r="G47" s="55" t="inlineStr">
        <is>
          <t>Monthly close</t>
        </is>
      </c>
      <c r="H47" s="55" t="inlineStr">
        <is>
          <t>Use a supporting detail tab for larger projects.</t>
        </is>
      </c>
    </row>
    <row r="48" ht="27.75" customHeight="1" s="10">
      <c r="A48" s="54" t="inlineStr">
        <is>
          <t>Hiring Plan</t>
        </is>
      </c>
      <c r="B48" s="54" t="inlineStr">
        <is>
          <t>Data_Entry!B52:Y52</t>
        </is>
      </c>
      <c r="C48" s="54" t="inlineStr">
        <is>
          <t>Sales Hires</t>
        </is>
      </c>
      <c r="D48" s="54" t="inlineStr">
        <is>
          <t>Monthly new sales hires.</t>
        </is>
      </c>
      <c r="E48" s="54" t="inlineStr">
        <is>
          <t>Approved hiring plan, recruiter tracker, or workforce plan.</t>
        </is>
      </c>
      <c r="F48" s="54" t="inlineStr">
        <is>
          <t>HR / Hiring Managers / FP&amp;A</t>
        </is>
      </c>
      <c r="G48" s="54" t="inlineStr">
        <is>
          <t>Monthly or reforecast</t>
        </is>
      </c>
      <c r="H48" s="54" t="inlineStr">
        <is>
          <t>Input hires by month.</t>
        </is>
      </c>
    </row>
    <row r="49" ht="27.75" customHeight="1" s="10">
      <c r="A49" s="55" t="inlineStr">
        <is>
          <t>Hiring Plan</t>
        </is>
      </c>
      <c r="B49" s="55" t="inlineStr">
        <is>
          <t>Data_Entry!B53:Y53</t>
        </is>
      </c>
      <c r="C49" s="55" t="inlineStr">
        <is>
          <t>Sales Terms</t>
        </is>
      </c>
      <c r="D49" s="55" t="inlineStr">
        <is>
          <t>Monthly sales terminations.</t>
        </is>
      </c>
      <c r="E49" s="55" t="inlineStr">
        <is>
          <t>HR exit tracker or workforce plan.</t>
        </is>
      </c>
      <c r="F49" s="55" t="inlineStr">
        <is>
          <t>HR / FP&amp;A</t>
        </is>
      </c>
      <c r="G49" s="55" t="inlineStr">
        <is>
          <t>Monthly or reforecast</t>
        </is>
      </c>
      <c r="H49" s="55" t="inlineStr">
        <is>
          <t>Input reductions by month.</t>
        </is>
      </c>
    </row>
    <row r="50" ht="27.75" customHeight="1" s="10">
      <c r="A50" s="54" t="inlineStr">
        <is>
          <t>Hiring Plan</t>
        </is>
      </c>
      <c r="B50" s="54" t="inlineStr">
        <is>
          <t>Data_Entry!B54:Y54</t>
        </is>
      </c>
      <c r="C50" s="54" t="inlineStr">
        <is>
          <t>Marketing Hires</t>
        </is>
      </c>
      <c r="D50" s="54" t="inlineStr">
        <is>
          <t>Monthly new marketing hires.</t>
        </is>
      </c>
      <c r="E50" s="54" t="inlineStr">
        <is>
          <t>Approved hiring plan, recruiter tracker, or workforce plan.</t>
        </is>
      </c>
      <c r="F50" s="54" t="inlineStr">
        <is>
          <t>HR / Hiring Managers / FP&amp;A</t>
        </is>
      </c>
      <c r="G50" s="54" t="inlineStr">
        <is>
          <t>Monthly or reforecast</t>
        </is>
      </c>
      <c r="H50" s="54" t="inlineStr">
        <is>
          <t>Input hires by month.</t>
        </is>
      </c>
    </row>
    <row r="51" ht="27.75" customHeight="1" s="10">
      <c r="A51" s="55" t="inlineStr">
        <is>
          <t>Hiring Plan</t>
        </is>
      </c>
      <c r="B51" s="55" t="inlineStr">
        <is>
          <t>Data_Entry!B55:Y55</t>
        </is>
      </c>
      <c r="C51" s="55" t="inlineStr">
        <is>
          <t>Marketing Terms</t>
        </is>
      </c>
      <c r="D51" s="55" t="inlineStr">
        <is>
          <t>Monthly marketing terminations.</t>
        </is>
      </c>
      <c r="E51" s="55" t="inlineStr">
        <is>
          <t>HR exit tracker or workforce plan.</t>
        </is>
      </c>
      <c r="F51" s="55" t="inlineStr">
        <is>
          <t>HR / FP&amp;A</t>
        </is>
      </c>
      <c r="G51" s="55" t="inlineStr">
        <is>
          <t>Monthly or reforecast</t>
        </is>
      </c>
      <c r="H51" s="55" t="inlineStr">
        <is>
          <t>Input reductions by month.</t>
        </is>
      </c>
    </row>
    <row r="52" ht="27.75" customHeight="1" s="10">
      <c r="A52" s="54" t="inlineStr">
        <is>
          <t>Hiring Plan</t>
        </is>
      </c>
      <c r="B52" s="54" t="inlineStr">
        <is>
          <t>Data_Entry!B56:Y56</t>
        </is>
      </c>
      <c r="C52" s="54" t="inlineStr">
        <is>
          <t>R&amp;D Hires</t>
        </is>
      </c>
      <c r="D52" s="54" t="inlineStr">
        <is>
          <t>Monthly new R&amp;D hires.</t>
        </is>
      </c>
      <c r="E52" s="54" t="inlineStr">
        <is>
          <t>Approved hiring plan, recruiter tracker, or workforce plan.</t>
        </is>
      </c>
      <c r="F52" s="54" t="inlineStr">
        <is>
          <t>HR / Hiring Managers / FP&amp;A</t>
        </is>
      </c>
      <c r="G52" s="54" t="inlineStr">
        <is>
          <t>Monthly or reforecast</t>
        </is>
      </c>
      <c r="H52" s="54" t="inlineStr">
        <is>
          <t>Input hires by month.</t>
        </is>
      </c>
    </row>
    <row r="53" ht="27.75" customHeight="1" s="10">
      <c r="A53" s="55" t="inlineStr">
        <is>
          <t>Hiring Plan</t>
        </is>
      </c>
      <c r="B53" s="55" t="inlineStr">
        <is>
          <t>Data_Entry!B57:Y57</t>
        </is>
      </c>
      <c r="C53" s="55" t="inlineStr">
        <is>
          <t>R&amp;D Terms</t>
        </is>
      </c>
      <c r="D53" s="55" t="inlineStr">
        <is>
          <t>Monthly R&amp;D terminations.</t>
        </is>
      </c>
      <c r="E53" s="55" t="inlineStr">
        <is>
          <t>HR exit tracker or workforce plan.</t>
        </is>
      </c>
      <c r="F53" s="55" t="inlineStr">
        <is>
          <t>HR / FP&amp;A</t>
        </is>
      </c>
      <c r="G53" s="55" t="inlineStr">
        <is>
          <t>Monthly or reforecast</t>
        </is>
      </c>
      <c r="H53" s="55" t="inlineStr">
        <is>
          <t>Input reductions by month.</t>
        </is>
      </c>
    </row>
    <row r="54" ht="27.75" customHeight="1" s="10">
      <c r="A54" s="54" t="inlineStr">
        <is>
          <t>Hiring Plan</t>
        </is>
      </c>
      <c r="B54" s="54" t="inlineStr">
        <is>
          <t>Data_Entry!B58:Y58</t>
        </is>
      </c>
      <c r="C54" s="54" t="inlineStr">
        <is>
          <t>G&amp;A Hires</t>
        </is>
      </c>
      <c r="D54" s="54" t="inlineStr">
        <is>
          <t>Monthly new G&amp;A hires.</t>
        </is>
      </c>
      <c r="E54" s="54" t="inlineStr">
        <is>
          <t>Approved hiring plan, recruiter tracker, or workforce plan.</t>
        </is>
      </c>
      <c r="F54" s="54" t="inlineStr">
        <is>
          <t>HR / Hiring Managers / FP&amp;A</t>
        </is>
      </c>
      <c r="G54" s="54" t="inlineStr">
        <is>
          <t>Monthly or reforecast</t>
        </is>
      </c>
      <c r="H54" s="54" t="inlineStr">
        <is>
          <t>Input hires by month.</t>
        </is>
      </c>
    </row>
    <row r="55" ht="27.75" customHeight="1" s="10">
      <c r="A55" s="55" t="inlineStr">
        <is>
          <t>Hiring Plan</t>
        </is>
      </c>
      <c r="B55" s="55" t="inlineStr">
        <is>
          <t>Data_Entry!B59:Y59</t>
        </is>
      </c>
      <c r="C55" s="55" t="inlineStr">
        <is>
          <t>G&amp;A Terms</t>
        </is>
      </c>
      <c r="D55" s="55" t="inlineStr">
        <is>
          <t>Monthly G&amp;A terminations.</t>
        </is>
      </c>
      <c r="E55" s="55" t="inlineStr">
        <is>
          <t>HR exit tracker or workforce plan.</t>
        </is>
      </c>
      <c r="F55" s="55" t="inlineStr">
        <is>
          <t>HR / FP&amp;A</t>
        </is>
      </c>
      <c r="G55" s="55" t="inlineStr">
        <is>
          <t>Monthly or reforecast</t>
        </is>
      </c>
      <c r="H55" s="55" t="inlineStr">
        <is>
          <t>Input reductions by month.</t>
        </is>
      </c>
    </row>
    <row r="56" ht="27.75" customHeight="1" s="10">
      <c r="A56" s="54" t="inlineStr">
        <is>
          <t>Hiring Plan</t>
        </is>
      </c>
      <c r="B56" s="54" t="inlineStr">
        <is>
          <t>Data_Entry!B60:Y60</t>
        </is>
      </c>
      <c r="C56" s="54" t="inlineStr">
        <is>
          <t>Customer Success Hires</t>
        </is>
      </c>
      <c r="D56" s="54" t="inlineStr">
        <is>
          <t>Monthly new customer success hires.</t>
        </is>
      </c>
      <c r="E56" s="54" t="inlineStr">
        <is>
          <t>Approved hiring plan, recruiter tracker, or workforce plan.</t>
        </is>
      </c>
      <c r="F56" s="54" t="inlineStr">
        <is>
          <t>HR / Hiring Managers / FP&amp;A</t>
        </is>
      </c>
      <c r="G56" s="54" t="inlineStr">
        <is>
          <t>Monthly or reforecast</t>
        </is>
      </c>
      <c r="H56" s="54" t="inlineStr">
        <is>
          <t>Input hires by month.</t>
        </is>
      </c>
    </row>
    <row r="57" ht="27.75" customHeight="1" s="10">
      <c r="A57" s="55" t="inlineStr">
        <is>
          <t>Hiring Plan</t>
        </is>
      </c>
      <c r="B57" s="55" t="inlineStr">
        <is>
          <t>Data_Entry!B61:Y61</t>
        </is>
      </c>
      <c r="C57" s="55" t="inlineStr">
        <is>
          <t>Customer Success Terms</t>
        </is>
      </c>
      <c r="D57" s="55" t="inlineStr">
        <is>
          <t>Monthly customer success terminations.</t>
        </is>
      </c>
      <c r="E57" s="55" t="inlineStr">
        <is>
          <t>HR exit tracker or workforce plan.</t>
        </is>
      </c>
      <c r="F57" s="55" t="inlineStr">
        <is>
          <t>HR / FP&amp;A</t>
        </is>
      </c>
      <c r="G57" s="55" t="inlineStr">
        <is>
          <t>Monthly or reforecast</t>
        </is>
      </c>
      <c r="H57" s="55" t="inlineStr">
        <is>
          <t>Input reductions by month.</t>
        </is>
      </c>
    </row>
    <row r="58" ht="27.75" customHeight="1" s="10">
      <c r="A58" s="54" t="inlineStr">
        <is>
          <t>Debt Inputs</t>
        </is>
      </c>
      <c r="B58" s="54" t="inlineStr">
        <is>
          <t>Data_Entry!B66:Y66</t>
        </is>
      </c>
      <c r="C58" s="54" t="inlineStr">
        <is>
          <t>Debt Draws</t>
        </is>
      </c>
      <c r="D58" s="54" t="inlineStr">
        <is>
          <t>Monthly new borrowings.</t>
        </is>
      </c>
      <c r="E58" s="54" t="inlineStr">
        <is>
          <t>Treasury cash plan, lender draw notice, or financing plan.</t>
        </is>
      </c>
      <c r="F58" s="54" t="inlineStr">
        <is>
          <t>Treasury / CFO</t>
        </is>
      </c>
      <c r="G58" s="54" t="inlineStr">
        <is>
          <t>When financing changes</t>
        </is>
      </c>
      <c r="H58" s="54" t="inlineStr">
        <is>
          <t>Enter monthly draw amounts only when needed.</t>
        </is>
      </c>
    </row>
    <row r="59" ht="27.75" customHeight="1" s="10">
      <c r="A59" s="55" t="inlineStr">
        <is>
          <t>Debt Inputs</t>
        </is>
      </c>
      <c r="B59" s="55" t="inlineStr">
        <is>
          <t>Data_Entry!B67:Y67</t>
        </is>
      </c>
      <c r="C59" s="55" t="inlineStr">
        <is>
          <t>Debt Repayments</t>
        </is>
      </c>
      <c r="D59" s="55" t="inlineStr">
        <is>
          <t>Monthly principal repayments.</t>
        </is>
      </c>
      <c r="E59" s="55" t="inlineStr">
        <is>
          <t>Debt amortization schedule, lender notice, or treasury plan.</t>
        </is>
      </c>
      <c r="F59" s="55" t="inlineStr">
        <is>
          <t>Treasury / CFO</t>
        </is>
      </c>
      <c r="G59" s="55" t="inlineStr">
        <is>
          <t>When financing changes</t>
        </is>
      </c>
      <c r="H59" s="55" t="inlineStr">
        <is>
          <t>Enter monthly principal only; interest is calculated.</t>
        </is>
      </c>
    </row>
    <row r="62" ht="31.5" customHeight="1" s="10">
      <c r="A62" s="30" t="inlineStr">
        <is>
          <t>Tip: In a live client project, tie opening balances to the last closed month, tie headcount to HR/payroll, and tie revenue drivers to CRM or billing reports.</t>
        </is>
      </c>
    </row>
  </sheetData>
  <mergeCells count="7">
    <mergeCell ref="A1:H1"/>
    <mergeCell ref="A4:H4"/>
    <mergeCell ref="A62:H62"/>
    <mergeCell ref="A7:H7"/>
    <mergeCell ref="A2:H2"/>
    <mergeCell ref="A5:H5"/>
    <mergeCell ref="A6:H6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zoomScaleNormal="100" workbookViewId="0">
      <selection activeCell="A1" sqref="A1:H1"/>
    </sheetView>
  </sheetViews>
  <sheetFormatPr baseColWidth="8" defaultColWidth="8.7109375" defaultRowHeight="12.75"/>
  <cols>
    <col width="20" customWidth="1" style="10" min="1" max="1"/>
    <col width="14" customWidth="1" style="10" min="2" max="4"/>
    <col width="4" customWidth="1" style="10" min="5" max="5"/>
    <col width="18" customWidth="1" style="10" min="6" max="8"/>
  </cols>
  <sheetData>
    <row r="1" ht="19.5" customHeight="1" s="10">
      <c r="A1" s="13" t="inlineStr">
        <is>
          <t>Executive Summary</t>
        </is>
      </c>
    </row>
    <row r="2" ht="15" customHeight="1" s="10">
      <c r="A2" s="30" t="inlineStr">
        <is>
          <t>Client-ready one-page overview linked to the selected scenario and model outputs.</t>
        </is>
      </c>
    </row>
    <row r="4" ht="15" customHeight="1" s="10">
      <c r="A4" s="31" t="inlineStr">
        <is>
          <t>Project Snapshot</t>
        </is>
      </c>
      <c r="B4" s="145" t="n"/>
      <c r="C4" s="145" t="n"/>
      <c r="D4" s="145" t="n"/>
      <c r="E4" s="145" t="n"/>
      <c r="F4" s="145" t="n"/>
      <c r="G4" s="145" t="n"/>
      <c r="H4" s="145" t="n"/>
    </row>
    <row r="5" ht="15" customHeight="1" s="10">
      <c r="A5" s="34" t="inlineStr">
        <is>
          <t>Metric</t>
        </is>
      </c>
      <c r="B5" s="34" t="inlineStr">
        <is>
          <t>Value</t>
        </is>
      </c>
      <c r="C5" s="34" t="inlineStr">
        <is>
          <t>Metric</t>
        </is>
      </c>
      <c r="D5" s="34" t="inlineStr">
        <is>
          <t>Value</t>
        </is>
      </c>
      <c r="E5" s="34" t="n"/>
      <c r="F5" s="34" t="inlineStr">
        <is>
          <t>Metric</t>
        </is>
      </c>
      <c r="G5" s="34" t="inlineStr">
        <is>
          <t>Value</t>
        </is>
      </c>
      <c r="H5" s="34" t="inlineStr">
        <is>
          <t>Notes</t>
        </is>
      </c>
    </row>
    <row r="6" ht="54.75" customHeight="1" s="10">
      <c r="A6" s="57" t="inlineStr">
        <is>
          <t>Selected Scenario</t>
        </is>
      </c>
      <c r="B6" s="58">
        <f>Data_Entry!$B$5</f>
        <v/>
      </c>
      <c r="C6" s="57" t="inlineStr">
        <is>
          <t>Forecast Start</t>
        </is>
      </c>
      <c r="D6" s="59">
        <f>Dashboard!$B$4</f>
        <v/>
      </c>
      <c r="E6" s="57" t="n"/>
      <c r="F6" s="57" t="inlineStr">
        <is>
          <t>Forecast End</t>
        </is>
      </c>
      <c r="G6" s="59">
        <f>Dashboard!$Y$4</f>
        <v/>
      </c>
      <c r="H6" s="57" t="inlineStr">
        <is>
          <t>Use this page for proposal screenshots or client handoff.</t>
        </is>
      </c>
    </row>
    <row r="7" ht="54.75" customHeight="1" s="10">
      <c r="A7" s="57" t="inlineStr">
        <is>
          <t>Year 1</t>
        </is>
      </c>
      <c r="B7" s="60">
        <f>Dashboard!$C$13</f>
        <v/>
      </c>
      <c r="C7" s="57" t="inlineStr">
        <is>
          <t>Year 2</t>
        </is>
      </c>
      <c r="D7" s="60">
        <f>Dashboard!$D$13</f>
        <v/>
      </c>
      <c r="E7" s="57" t="n"/>
      <c r="F7" s="57" t="inlineStr">
        <is>
          <t>Cash Check</t>
        </is>
      </c>
      <c r="G7" s="58">
        <f>Checks!$D$9</f>
        <v/>
      </c>
      <c r="H7" s="57" t="inlineStr">
        <is>
          <t>Checks sheet confirms minimum ending cash and BS balance.</t>
        </is>
      </c>
    </row>
    <row r="9" ht="15" customHeight="1" s="10">
      <c r="A9" s="31" t="inlineStr">
        <is>
          <t>Annual KPI Summary</t>
        </is>
      </c>
      <c r="B9" s="145" t="n"/>
      <c r="C9" s="145" t="n"/>
      <c r="D9" s="145" t="n"/>
      <c r="E9" s="145" t="n"/>
      <c r="F9" s="145" t="n"/>
      <c r="G9" s="145" t="n"/>
      <c r="H9" s="145" t="n"/>
    </row>
    <row r="10" ht="15" customHeight="1" s="10">
      <c r="A10" s="34" t="inlineStr">
        <is>
          <t>Metric</t>
        </is>
      </c>
      <c r="B10" s="34" t="inlineStr">
        <is>
          <t>Year 1</t>
        </is>
      </c>
      <c r="C10" s="34" t="inlineStr">
        <is>
          <t>Year 2</t>
        </is>
      </c>
      <c r="D10" s="34" t="inlineStr">
        <is>
          <t>Change</t>
        </is>
      </c>
      <c r="E10" s="34" t="n"/>
      <c r="F10" s="34" t="inlineStr">
        <is>
          <t>Key Readout</t>
        </is>
      </c>
      <c r="G10" s="34" t="inlineStr">
        <is>
          <t>Formula</t>
        </is>
      </c>
      <c r="H10" s="34" t="inlineStr">
        <is>
          <t>Status</t>
        </is>
      </c>
    </row>
    <row r="11" ht="15" customHeight="1" s="10">
      <c r="A11" s="57" t="inlineStr">
        <is>
          <t>Revenue</t>
        </is>
      </c>
      <c r="B11" s="61">
        <f>Dashboard!$C$14</f>
        <v/>
      </c>
      <c r="C11" s="61">
        <f>Dashboard!$D$14</f>
        <v/>
      </c>
      <c r="D11" s="62">
        <f>IF(B11=0,"-",C11/B11-1)</f>
        <v/>
      </c>
      <c r="E11" s="57" t="n"/>
      <c r="F11" s="57" t="inlineStr">
        <is>
          <t>Revenue growth</t>
        </is>
      </c>
      <c r="G11" s="58">
        <f>IF(D11="-","n/a",IF(D11&gt;0,"Growing","Declining"))</f>
        <v/>
      </c>
      <c r="H11" s="58">
        <f>IF(D11="-","REVIEW",IF(D11&gt;=0,"OK","REVIEW"))</f>
        <v/>
      </c>
    </row>
    <row r="12" ht="15" customHeight="1" s="10">
      <c r="A12" s="57" t="inlineStr">
        <is>
          <t>EBITDA</t>
        </is>
      </c>
      <c r="B12" s="61">
        <f>Dashboard!$C$15</f>
        <v/>
      </c>
      <c r="C12" s="61">
        <f>Dashboard!$D$15</f>
        <v/>
      </c>
      <c r="D12" s="61">
        <f>C12-B12</f>
        <v/>
      </c>
      <c r="E12" s="57" t="n"/>
      <c r="F12" s="57" t="inlineStr">
        <is>
          <t>Profit improvement</t>
        </is>
      </c>
      <c r="G12" s="58">
        <f>IF(D12&gt;0,"Improving","Declining")</f>
        <v/>
      </c>
      <c r="H12" s="58">
        <f>IF(C12&gt;=0,"OK","REVIEW")</f>
        <v/>
      </c>
    </row>
    <row r="13" ht="15" customHeight="1" s="10">
      <c r="A13" s="57" t="inlineStr">
        <is>
          <t>EBITDA Margin</t>
        </is>
      </c>
      <c r="B13" s="62">
        <f>Dashboard!$C$16</f>
        <v/>
      </c>
      <c r="C13" s="62">
        <f>Dashboard!$D$16</f>
        <v/>
      </c>
      <c r="D13" s="62">
        <f>C13-B13</f>
        <v/>
      </c>
      <c r="E13" s="57" t="n"/>
      <c r="F13" s="57" t="inlineStr">
        <is>
          <t>Margin trend</t>
        </is>
      </c>
      <c r="G13" s="58">
        <f>IF(D13&gt;0,"Improving","Compressing")</f>
        <v/>
      </c>
      <c r="H13" s="58">
        <f>IF(C13&gt;=0,"OK","REVIEW")</f>
        <v/>
      </c>
    </row>
    <row r="14" ht="15" customHeight="1" s="10">
      <c r="A14" s="57" t="inlineStr">
        <is>
          <t>Ending Cash</t>
        </is>
      </c>
      <c r="B14" s="61">
        <f>Dashboard!$C$17</f>
        <v/>
      </c>
      <c r="C14" s="61">
        <f>Dashboard!$D$17</f>
        <v/>
      </c>
      <c r="D14" s="61">
        <f>C14-B14</f>
        <v/>
      </c>
      <c r="E14" s="57" t="n"/>
      <c r="F14" s="57" t="inlineStr">
        <is>
          <t>Liquidity</t>
        </is>
      </c>
      <c r="G14" s="58">
        <f>IF(C14&gt;0,"Positive","Negative")</f>
        <v/>
      </c>
      <c r="H14" s="58">
        <f>IF(C14&gt;0,"OK","REVIEW")</f>
        <v/>
      </c>
    </row>
    <row r="15" ht="15" customHeight="1" s="10">
      <c r="A15" s="57" t="inlineStr">
        <is>
          <t>Ending Customers</t>
        </is>
      </c>
      <c r="B15" s="63">
        <f>Dashboard!$C$18</f>
        <v/>
      </c>
      <c r="C15" s="63">
        <f>Dashboard!$D$18</f>
        <v/>
      </c>
      <c r="D15" s="63">
        <f>C15-B15</f>
        <v/>
      </c>
      <c r="E15" s="57" t="n"/>
      <c r="F15" s="57" t="inlineStr">
        <is>
          <t>Customer base</t>
        </is>
      </c>
      <c r="G15" s="58">
        <f>IF(D15&gt;0,"Expanded","Contracted")</f>
        <v/>
      </c>
      <c r="H15" s="58">
        <f>IF(C15&gt;=B15,"OK","REVIEW")</f>
        <v/>
      </c>
    </row>
    <row r="16" ht="15" customHeight="1" s="10">
      <c r="A16" s="57" t="inlineStr">
        <is>
          <t>Ending HC</t>
        </is>
      </c>
      <c r="B16" s="63">
        <f>Dashboard!$C$19</f>
        <v/>
      </c>
      <c r="C16" s="63">
        <f>Dashboard!$D$19</f>
        <v/>
      </c>
      <c r="D16" s="63">
        <f>C16-B16</f>
        <v/>
      </c>
      <c r="E16" s="57" t="n"/>
      <c r="F16" s="57" t="inlineStr">
        <is>
          <t>Organization size</t>
        </is>
      </c>
      <c r="G16" s="58">
        <f>IF(D16&gt;0,"Scaled up","Flat / down")</f>
        <v/>
      </c>
      <c r="H16" s="58" t="inlineStr">
        <is>
          <t>Informational</t>
        </is>
      </c>
    </row>
    <row r="18" ht="15" customHeight="1" s="10">
      <c r="A18" s="31" t="inlineStr">
        <is>
          <t>Auto Checks &amp; Handoff Notes</t>
        </is>
      </c>
      <c r="B18" s="145" t="n"/>
      <c r="C18" s="145" t="n"/>
      <c r="D18" s="145" t="n"/>
      <c r="E18" s="145" t="n"/>
      <c r="F18" s="145" t="n"/>
      <c r="G18" s="145" t="n"/>
      <c r="H18" s="145" t="n"/>
    </row>
    <row r="19" ht="30" customHeight="1" s="10">
      <c r="A19" s="54">
        <f>IF(MIN(CF!B19:Y19)&gt;0,"PASS: ending cash remains positive across the full forecast horizon.","REVIEW: ending cash goes negative during the forecast horizon.")</f>
        <v/>
      </c>
      <c r="B19" s="146" t="n"/>
      <c r="C19" s="146" t="n"/>
      <c r="D19" s="146" t="n"/>
      <c r="E19" s="146" t="n"/>
      <c r="F19" s="146" t="n"/>
      <c r="G19" s="146" t="n"/>
      <c r="H19" s="146" t="n"/>
    </row>
    <row r="20" ht="30" customHeight="1" s="10">
      <c r="A20" s="54">
        <f>IF(ABS(BS!Y19)&lt;1,"PASS: the balance sheet remains in balance in the final forecast month.","REVIEW: the balance sheet is out of balance in the final forecast month.")</f>
        <v/>
      </c>
      <c r="B20" s="146" t="n"/>
      <c r="C20" s="146" t="n"/>
      <c r="D20" s="146" t="n"/>
      <c r="E20" s="146" t="n"/>
      <c r="F20" s="146" t="n"/>
      <c r="G20" s="146" t="n"/>
      <c r="H20" s="146" t="n"/>
    </row>
    <row r="21" ht="30" customHeight="1" s="10">
      <c r="A21" s="54">
        <f>IF(Dashboard!D16&gt;=Dashboard!C16,"Year 2 EBITDA margin is at or above Year 1.","Year 2 EBITDA margin is below Year 1 and should be reviewed.")</f>
        <v/>
      </c>
      <c r="B21" s="146" t="n"/>
      <c r="C21" s="146" t="n"/>
      <c r="D21" s="146" t="n"/>
      <c r="E21" s="146" t="n"/>
      <c r="F21" s="146" t="n"/>
      <c r="G21" s="146" t="n"/>
      <c r="H21" s="146" t="n"/>
    </row>
    <row r="22" ht="30" customHeight="1" s="10">
      <c r="A22" s="54">
        <f>IF(Dashboard!D18&gt;=Dashboard!C18,"Customer count ends above Year 1.","Customer count ends below Year 1 and should be explained.")</f>
        <v/>
      </c>
      <c r="B22" s="146" t="n"/>
      <c r="C22" s="146" t="n"/>
      <c r="D22" s="146" t="n"/>
      <c r="E22" s="146" t="n"/>
      <c r="F22" s="146" t="n"/>
      <c r="G22" s="146" t="n"/>
      <c r="H22" s="146" t="n"/>
    </row>
    <row r="23" ht="30" customHeight="1" s="10">
      <c r="A23" s="54" t="inlineStr">
        <is>
          <t>Use the Dashboard, Checks, Input_Source_Map, Assumption_Log, and Client_Request_List tabs as the standard client delivery pack.</t>
        </is>
      </c>
      <c r="B23" s="146" t="n"/>
      <c r="C23" s="146" t="n"/>
      <c r="D23" s="146" t="n"/>
      <c r="E23" s="146" t="n"/>
      <c r="F23" s="146" t="n"/>
      <c r="G23" s="146" t="n"/>
      <c r="H23" s="146" t="n"/>
    </row>
  </sheetData>
  <mergeCells count="10">
    <mergeCell ref="A9:H9"/>
    <mergeCell ref="A4:H4"/>
    <mergeCell ref="A18:H18"/>
    <mergeCell ref="A21:H21"/>
    <mergeCell ref="A20:H20"/>
    <mergeCell ref="A2:H2"/>
    <mergeCell ref="A19:H19"/>
    <mergeCell ref="A1:H1"/>
    <mergeCell ref="A23:H23"/>
    <mergeCell ref="A22:H22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zoomScaleNormal="100" workbookViewId="0">
      <selection activeCell="A1" sqref="A1:H1"/>
    </sheetView>
  </sheetViews>
  <sheetFormatPr baseColWidth="8" defaultColWidth="8.7109375" defaultRowHeight="12.75"/>
  <cols>
    <col width="10" customWidth="1" style="10" min="1" max="1"/>
    <col width="18" customWidth="1" style="10" min="2" max="2"/>
    <col width="42" customWidth="1" style="10" min="3" max="3"/>
    <col width="12" customWidth="1" style="10" min="4" max="4"/>
    <col width="18" customWidth="1" style="10" min="5" max="6"/>
    <col width="14" customWidth="1" style="10" min="7" max="7"/>
    <col width="32" customWidth="1" style="10" min="8" max="8"/>
  </cols>
  <sheetData>
    <row r="1" ht="19.5" customHeight="1" s="10">
      <c r="A1" s="13" t="inlineStr">
        <is>
          <t>Client Request List</t>
        </is>
      </c>
    </row>
    <row r="2" ht="15" customHeight="1" s="10">
      <c r="A2" s="30" t="inlineStr">
        <is>
          <t>Tracker for open requests, deliverables, dependencies, and handoff status during an FP&amp;A engagement.</t>
        </is>
      </c>
    </row>
    <row r="4" ht="15" customHeight="1" s="10">
      <c r="A4" s="31" t="inlineStr">
        <is>
          <t>Tracker Summary</t>
        </is>
      </c>
      <c r="B4" s="145" t="n"/>
      <c r="C4" s="145" t="n"/>
      <c r="D4" s="145" t="n"/>
      <c r="E4" s="145" t="n"/>
      <c r="F4" s="145" t="n"/>
      <c r="G4" s="145" t="n"/>
      <c r="H4" s="145" t="n"/>
    </row>
    <row r="5" ht="15" customHeight="1" s="10">
      <c r="A5" s="34" t="inlineStr">
        <is>
          <t>Metric</t>
        </is>
      </c>
      <c r="B5" s="34" t="inlineStr">
        <is>
          <t>Value</t>
        </is>
      </c>
      <c r="C5" s="34" t="inlineStr">
        <is>
          <t>Metric</t>
        </is>
      </c>
      <c r="D5" s="34" t="inlineStr">
        <is>
          <t>Value</t>
        </is>
      </c>
      <c r="E5" s="34" t="inlineStr">
        <is>
          <t>Metric</t>
        </is>
      </c>
      <c r="F5" s="34" t="inlineStr">
        <is>
          <t>Value</t>
        </is>
      </c>
      <c r="G5" s="34" t="n"/>
      <c r="H5" s="34" t="n"/>
    </row>
    <row r="6" ht="27.75" customHeight="1" s="10">
      <c r="A6" s="57" t="inlineStr">
        <is>
          <t>Total Requests</t>
        </is>
      </c>
      <c r="B6" s="64">
        <f>COUNTA(A11:A20)</f>
        <v/>
      </c>
      <c r="C6" s="57" t="inlineStr">
        <is>
          <t>Done</t>
        </is>
      </c>
      <c r="D6" s="64">
        <f>COUNTIF(F11:F20,"Done")</f>
        <v/>
      </c>
      <c r="E6" s="57" t="inlineStr">
        <is>
          <t>Waiting on Client</t>
        </is>
      </c>
      <c r="F6" s="64">
        <f>COUNTIF(F11:F20,"Waiting on Client")</f>
        <v/>
      </c>
      <c r="G6" s="57" t="n"/>
      <c r="H6" s="57" t="n"/>
    </row>
    <row r="7" ht="27.75" customHeight="1" s="10">
      <c r="A7" s="57" t="inlineStr">
        <is>
          <t>Open Items</t>
        </is>
      </c>
      <c r="B7" s="64">
        <f>COUNTIF(F11:F20,"&lt;&gt;Done")</f>
        <v/>
      </c>
      <c r="C7" s="57" t="inlineStr">
        <is>
          <t>High Priority</t>
        </is>
      </c>
      <c r="D7" s="64">
        <f>COUNTIF(D11:D20,"High")</f>
        <v/>
      </c>
      <c r="E7" s="57" t="inlineStr">
        <is>
          <t>In Progress</t>
        </is>
      </c>
      <c r="F7" s="64">
        <f>COUNTIF(F11:F20,"In Progress")</f>
        <v/>
      </c>
      <c r="G7" s="57" t="n"/>
      <c r="H7" s="57" t="n"/>
    </row>
    <row r="9" ht="15" customHeight="1" s="10">
      <c r="A9" s="31" t="inlineStr">
        <is>
          <t>Detailed Request Tracker</t>
        </is>
      </c>
      <c r="B9" s="145" t="n"/>
      <c r="C9" s="145" t="n"/>
      <c r="D9" s="145" t="n"/>
      <c r="E9" s="145" t="n"/>
      <c r="F9" s="145" t="n"/>
      <c r="G9" s="145" t="n"/>
      <c r="H9" s="145" t="n"/>
    </row>
    <row r="10" ht="15" customHeight="1" s="10">
      <c r="A10" s="34" t="inlineStr">
        <is>
          <t>Request ID</t>
        </is>
      </c>
      <c r="B10" s="34" t="inlineStr">
        <is>
          <t>Workstream</t>
        </is>
      </c>
      <c r="C10" s="34" t="inlineStr">
        <is>
          <t>Request / Deliverable</t>
        </is>
      </c>
      <c r="D10" s="34" t="inlineStr">
        <is>
          <t>Priority</t>
        </is>
      </c>
      <c r="E10" s="34" t="inlineStr">
        <is>
          <t>Owner</t>
        </is>
      </c>
      <c r="F10" s="34" t="inlineStr">
        <is>
          <t>Status</t>
        </is>
      </c>
      <c r="G10" s="34" t="inlineStr">
        <is>
          <t>Due Date</t>
        </is>
      </c>
      <c r="H10" s="34" t="inlineStr">
        <is>
          <t>Notes</t>
        </is>
      </c>
    </row>
    <row r="11" ht="15" customHeight="1" s="10">
      <c r="A11" s="63">
        <f>ROW()-10</f>
        <v/>
      </c>
      <c r="B11" s="59" t="inlineStr">
        <is>
          <t>Kickoff</t>
        </is>
      </c>
      <c r="C11" s="59" t="inlineStr">
        <is>
          <t>Confirm scope, deliverables, and scenario definitions.</t>
        </is>
      </c>
      <c r="D11" s="59" t="inlineStr">
        <is>
          <t>High</t>
        </is>
      </c>
      <c r="E11" s="59" t="inlineStr">
        <is>
          <t>FP&amp;A</t>
        </is>
      </c>
      <c r="F11" s="59" t="inlineStr">
        <is>
          <t>Done</t>
        </is>
      </c>
      <c r="G11" s="59">
        <f>Data_Entry!$E$11+3</f>
        <v/>
      </c>
      <c r="H11" s="59" t="inlineStr">
        <is>
          <t>Use this as the kickoff checklist in proposals.</t>
        </is>
      </c>
    </row>
    <row r="12" ht="15" customHeight="1" s="10">
      <c r="A12" s="63">
        <f>ROW()-10</f>
        <v/>
      </c>
      <c r="B12" s="59" t="inlineStr">
        <is>
          <t>Actuals</t>
        </is>
      </c>
      <c r="C12" s="59" t="inlineStr">
        <is>
          <t>Provide monthly P&amp;L, balance sheet, and cash flow actuals.</t>
        </is>
      </c>
      <c r="D12" s="59" t="inlineStr">
        <is>
          <t>High</t>
        </is>
      </c>
      <c r="E12" s="59" t="inlineStr">
        <is>
          <t>Client / Accounting</t>
        </is>
      </c>
      <c r="F12" s="59" t="inlineStr">
        <is>
          <t>Waiting on Client</t>
        </is>
      </c>
      <c r="G12" s="59">
        <f>Data_Entry!$E$11+7</f>
        <v/>
      </c>
      <c r="H12" s="59" t="inlineStr">
        <is>
          <t>Needed to replace demo assumptions with real actuals.</t>
        </is>
      </c>
    </row>
    <row r="13" ht="15" customHeight="1" s="10">
      <c r="A13" s="63">
        <f>ROW()-10</f>
        <v/>
      </c>
      <c r="B13" s="59" t="inlineStr">
        <is>
          <t>Revenue</t>
        </is>
      </c>
      <c r="C13" s="59" t="inlineStr">
        <is>
          <t>Share billing export, pipeline, pricing, and churn history.</t>
        </is>
      </c>
      <c r="D13" s="59" t="inlineStr">
        <is>
          <t>High</t>
        </is>
      </c>
      <c r="E13" s="59" t="inlineStr">
        <is>
          <t>Client / RevOps</t>
        </is>
      </c>
      <c r="F13" s="59" t="inlineStr">
        <is>
          <t>In Progress</t>
        </is>
      </c>
      <c r="G13" s="59">
        <f>Data_Entry!$E$11+10</f>
        <v/>
      </c>
      <c r="H13" s="59" t="inlineStr">
        <is>
          <t>Feeds customer, ARPU, churn, and implementation fee drivers.</t>
        </is>
      </c>
    </row>
    <row r="14" ht="15" customHeight="1" s="10">
      <c r="A14" s="63">
        <f>ROW()-10</f>
        <v/>
      </c>
      <c r="B14" s="59" t="inlineStr">
        <is>
          <t>People</t>
        </is>
      </c>
      <c r="C14" s="59" t="inlineStr">
        <is>
          <t>Share payroll register, org chart, and hiring plan.</t>
        </is>
      </c>
      <c r="D14" s="59" t="inlineStr">
        <is>
          <t>High</t>
        </is>
      </c>
      <c r="E14" s="59" t="inlineStr">
        <is>
          <t>Client / HR</t>
        </is>
      </c>
      <c r="F14" s="59" t="inlineStr">
        <is>
          <t>Waiting on Client</t>
        </is>
      </c>
      <c r="G14" s="59">
        <f>Data_Entry!$E$11+10</f>
        <v/>
      </c>
      <c r="H14" s="59" t="inlineStr">
        <is>
          <t>Needed to validate opening HC and salary assumptions.</t>
        </is>
      </c>
    </row>
    <row r="15" ht="15" customHeight="1" s="10">
      <c r="A15" s="63">
        <f>ROW()-10</f>
        <v/>
      </c>
      <c r="B15" s="59" t="inlineStr">
        <is>
          <t>Working Capital</t>
        </is>
      </c>
      <c r="C15" s="59" t="inlineStr">
        <is>
          <t>Confirm AR aging, AP aging, DSO, and DPO targets.</t>
        </is>
      </c>
      <c r="D15" s="59" t="inlineStr">
        <is>
          <t>Medium</t>
        </is>
      </c>
      <c r="E15" s="59" t="inlineStr">
        <is>
          <t>Client / Controller</t>
        </is>
      </c>
      <c r="F15" s="59" t="inlineStr">
        <is>
          <t>Not Started</t>
        </is>
      </c>
      <c r="G15" s="59">
        <f>Data_Entry!$E$11+12</f>
        <v/>
      </c>
      <c r="H15" s="59" t="inlineStr">
        <is>
          <t>Required for CF and BS accuracy.</t>
        </is>
      </c>
    </row>
    <row r="16" ht="15" customHeight="1" s="10">
      <c r="A16" s="63">
        <f>ROW()-10</f>
        <v/>
      </c>
      <c r="B16" s="59" t="inlineStr">
        <is>
          <t>Treasury</t>
        </is>
      </c>
      <c r="C16" s="59" t="inlineStr">
        <is>
          <t>Provide debt agreements, draw schedule, and repayment plan.</t>
        </is>
      </c>
      <c r="D16" s="59" t="inlineStr">
        <is>
          <t>Medium</t>
        </is>
      </c>
      <c r="E16" s="59" t="inlineStr">
        <is>
          <t>Client / Treasury</t>
        </is>
      </c>
      <c r="F16" s="59" t="inlineStr">
        <is>
          <t>Not Started</t>
        </is>
      </c>
      <c r="G16" s="59">
        <f>Data_Entry!$E$11+14</f>
        <v/>
      </c>
      <c r="H16" s="59" t="inlineStr">
        <is>
          <t>Used for debt balance and interest expense.</t>
        </is>
      </c>
    </row>
    <row r="17" ht="15" customHeight="1" s="10">
      <c r="A17" s="63">
        <f>ROW()-10</f>
        <v/>
      </c>
      <c r="B17" s="59" t="inlineStr">
        <is>
          <t>Capex</t>
        </is>
      </c>
      <c r="C17" s="59" t="inlineStr">
        <is>
          <t>Provide fixed asset rollforward and capex plan.</t>
        </is>
      </c>
      <c r="D17" s="59" t="inlineStr">
        <is>
          <t>Medium</t>
        </is>
      </c>
      <c r="E17" s="59" t="inlineStr">
        <is>
          <t>Client / Accounting</t>
        </is>
      </c>
      <c r="F17" s="59" t="inlineStr">
        <is>
          <t>Not Started</t>
        </is>
      </c>
      <c r="G17" s="59">
        <f>Data_Entry!$E$11+14</f>
        <v/>
      </c>
      <c r="H17" s="59" t="inlineStr">
        <is>
          <t>Used for depreciation and PP&amp;E build.</t>
        </is>
      </c>
    </row>
    <row r="18" ht="15" customHeight="1" s="10">
      <c r="A18" s="63">
        <f>ROW()-10</f>
        <v/>
      </c>
      <c r="B18" s="59" t="inlineStr">
        <is>
          <t>Review</t>
        </is>
      </c>
      <c r="C18" s="59" t="inlineStr">
        <is>
          <t>Review Base / Upside / Downside assumptions with management.</t>
        </is>
      </c>
      <c r="D18" s="59" t="inlineStr">
        <is>
          <t>High</t>
        </is>
      </c>
      <c r="E18" s="59" t="inlineStr">
        <is>
          <t>FP&amp;A + CFO</t>
        </is>
      </c>
      <c r="F18" s="59" t="inlineStr">
        <is>
          <t>Not Started</t>
        </is>
      </c>
      <c r="G18" s="59">
        <f>Data_Entry!$E$11+18</f>
        <v/>
      </c>
      <c r="H18" s="59" t="inlineStr">
        <is>
          <t>Use before finalizing the scenario pack.</t>
        </is>
      </c>
    </row>
    <row r="19" ht="15" customHeight="1" s="10">
      <c r="A19" s="63">
        <f>ROW()-10</f>
        <v/>
      </c>
      <c r="B19" s="59" t="inlineStr">
        <is>
          <t>QA</t>
        </is>
      </c>
      <c r="C19" s="59" t="inlineStr">
        <is>
          <t>Run checks and confirm that outputs tie across the model.</t>
        </is>
      </c>
      <c r="D19" s="59" t="inlineStr">
        <is>
          <t>High</t>
        </is>
      </c>
      <c r="E19" s="59" t="inlineStr">
        <is>
          <t>FP&amp;A</t>
        </is>
      </c>
      <c r="F19" s="59" t="inlineStr">
        <is>
          <t>Not Started</t>
        </is>
      </c>
      <c r="G19" s="59">
        <f>Data_Entry!$E$11+20</f>
        <v/>
      </c>
      <c r="H19" s="59" t="inlineStr">
        <is>
          <t>Checks tab should be clean before handoff.</t>
        </is>
      </c>
    </row>
    <row r="20" ht="15" customHeight="1" s="10">
      <c r="A20" s="63">
        <f>ROW()-10</f>
        <v/>
      </c>
      <c r="B20" s="59" t="inlineStr">
        <is>
          <t>Handoff</t>
        </is>
      </c>
      <c r="C20" s="59" t="inlineStr">
        <is>
          <t>Deliver final model, executive summary, and walkthrough.</t>
        </is>
      </c>
      <c r="D20" s="59" t="inlineStr">
        <is>
          <t>Medium</t>
        </is>
      </c>
      <c r="E20" s="59" t="inlineStr">
        <is>
          <t>FP&amp;A</t>
        </is>
      </c>
      <c r="F20" s="59" t="inlineStr">
        <is>
          <t>Not Started</t>
        </is>
      </c>
      <c r="G20" s="59">
        <f>Data_Entry!$E$11+21</f>
        <v/>
      </c>
      <c r="H20" s="59" t="inlineStr">
        <is>
          <t>Final client package.</t>
        </is>
      </c>
    </row>
  </sheetData>
  <mergeCells count="4">
    <mergeCell ref="A9:H9"/>
    <mergeCell ref="A4:H4"/>
    <mergeCell ref="A2:H2"/>
    <mergeCell ref="A1:H1"/>
  </mergeCells>
  <dataValidations count="2">
    <dataValidation sqref="D11:D20" showDropDown="0" showInputMessage="0" showErrorMessage="0" allowBlank="1" type="list">
      <formula1>"High,Medium,Low"</formula1>
      <formula2>0</formula2>
    </dataValidation>
    <dataValidation sqref="F11:F20" showDropDown="0" showInputMessage="0" showErrorMessage="0" allowBlank="1" type="list">
      <formula1>"Not Started,In Progress,Waiting on Client,Done"</formula1>
      <formula2>0</formula2>
    </dataValidation>
  </dataValidation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zoomScaleNormal="100" workbookViewId="0">
      <selection activeCell="A1" sqref="A1:H1"/>
    </sheetView>
  </sheetViews>
  <sheetFormatPr baseColWidth="8" defaultColWidth="8.7109375" defaultRowHeight="12.75"/>
  <cols>
    <col width="8" customWidth="1" style="10" min="1" max="1"/>
    <col width="28" customWidth="1" style="10" min="2" max="2"/>
    <col width="12" customWidth="1" style="10" min="3" max="7"/>
    <col width="62" customWidth="1" style="10" min="8" max="8"/>
    <col width="28" customWidth="1" style="10" min="9" max="9"/>
    <col width="14" customWidth="1" style="10" min="10" max="10"/>
    <col width="30" customWidth="1" style="10" min="11" max="11"/>
  </cols>
  <sheetData>
    <row r="1" ht="19.5" customHeight="1" s="10">
      <c r="A1" s="13" t="inlineStr">
        <is>
          <t>Assumption Log</t>
        </is>
      </c>
    </row>
    <row r="2" ht="15" customHeight="1" s="10">
      <c r="A2" s="30" t="inlineStr">
        <is>
          <t>Audit-friendly log of key model drivers, linked to Data_Entry and ready for client review.</t>
        </is>
      </c>
    </row>
    <row r="4" ht="15" customHeight="1" s="10">
      <c r="A4" s="31" t="inlineStr">
        <is>
          <t>Review Summary</t>
        </is>
      </c>
      <c r="B4" s="145" t="n"/>
      <c r="C4" s="145" t="n"/>
      <c r="D4" s="145" t="n"/>
      <c r="E4" s="145" t="n"/>
      <c r="F4" s="145" t="n"/>
      <c r="G4" s="145" t="n"/>
      <c r="H4" s="145" t="n"/>
      <c r="I4" s="145" t="n"/>
      <c r="J4" s="145" t="n"/>
      <c r="K4" s="145" t="n"/>
    </row>
    <row r="5" ht="15" customHeight="1" s="10">
      <c r="A5" s="34" t="inlineStr">
        <is>
          <t>Metric</t>
        </is>
      </c>
      <c r="B5" s="34" t="inlineStr">
        <is>
          <t>Value</t>
        </is>
      </c>
      <c r="C5" s="34" t="inlineStr">
        <is>
          <t>Metric</t>
        </is>
      </c>
      <c r="D5" s="34" t="inlineStr">
        <is>
          <t>Value</t>
        </is>
      </c>
      <c r="E5" s="34" t="inlineStr">
        <is>
          <t>Metric</t>
        </is>
      </c>
      <c r="F5" s="34" t="inlineStr">
        <is>
          <t>Value</t>
        </is>
      </c>
      <c r="G5" s="34" t="n"/>
      <c r="H5" s="34" t="n"/>
      <c r="I5" s="34" t="n"/>
      <c r="J5" s="34" t="n"/>
      <c r="K5" s="34" t="n"/>
    </row>
    <row r="6" ht="41.25" customHeight="1" s="10">
      <c r="A6" s="57" t="inlineStr">
        <is>
          <t>Logged Assumptions</t>
        </is>
      </c>
      <c r="B6" s="63">
        <f>COUNTA(B11:B26)</f>
        <v/>
      </c>
      <c r="C6" s="57" t="inlineStr">
        <is>
          <t>Reviewed</t>
        </is>
      </c>
      <c r="D6" s="63">
        <f>COUNTIF(J11:J26,"Reviewed")</f>
        <v/>
      </c>
      <c r="E6" s="57" t="inlineStr">
        <is>
          <t>Approved</t>
        </is>
      </c>
      <c r="F6" s="63">
        <f>COUNTIF(J11:J26,"Approved")</f>
        <v/>
      </c>
      <c r="G6" s="57" t="n"/>
      <c r="H6" s="57" t="n"/>
      <c r="I6" s="57" t="n"/>
      <c r="J6" s="57" t="n"/>
    </row>
    <row r="7" ht="27.75" customHeight="1" s="10">
      <c r="A7" s="57" t="inlineStr">
        <is>
          <t>Selected Scenario</t>
        </is>
      </c>
      <c r="B7" s="57">
        <f>Data_Entry!$B$5</f>
        <v/>
      </c>
      <c r="C7" s="57" t="inlineStr">
        <is>
          <t>Model Start</t>
        </is>
      </c>
      <c r="D7" s="59">
        <f>Dashboard!$B$4</f>
        <v/>
      </c>
      <c r="E7" s="57" t="inlineStr">
        <is>
          <t>Use</t>
        </is>
      </c>
      <c r="F7" s="54" t="inlineStr">
        <is>
          <t>Purpose: client assumption review, challenge session, and sign-off log.</t>
        </is>
      </c>
      <c r="G7" s="146" t="n"/>
      <c r="H7" s="146" t="n"/>
      <c r="I7" s="146" t="n"/>
      <c r="J7" s="146" t="n"/>
      <c r="K7" s="146" t="n"/>
    </row>
    <row r="9" ht="15" customHeight="1" s="10">
      <c r="A9" s="31" t="inlineStr">
        <is>
          <t>Detailed Assumption Register</t>
        </is>
      </c>
      <c r="B9" s="145" t="n"/>
      <c r="C9" s="145" t="n"/>
      <c r="D9" s="145" t="n"/>
      <c r="E9" s="145" t="n"/>
      <c r="F9" s="145" t="n"/>
      <c r="G9" s="145" t="n"/>
      <c r="H9" s="145" t="n"/>
      <c r="I9" s="145" t="n"/>
      <c r="J9" s="145" t="n"/>
      <c r="K9" s="145" t="n"/>
    </row>
    <row r="10" ht="15" customHeight="1" s="10">
      <c r="A10" s="34" t="inlineStr">
        <is>
          <t>ID</t>
        </is>
      </c>
      <c r="B10" s="34" t="inlineStr">
        <is>
          <t>Driver / Assumption</t>
        </is>
      </c>
      <c r="C10" s="34" t="inlineStr">
        <is>
          <t>Base</t>
        </is>
      </c>
      <c r="D10" s="34" t="inlineStr">
        <is>
          <t>Upside</t>
        </is>
      </c>
      <c r="E10" s="34" t="inlineStr">
        <is>
          <t>Downside</t>
        </is>
      </c>
      <c r="F10" s="34" t="inlineStr">
        <is>
          <t>Selected</t>
        </is>
      </c>
      <c r="G10" s="34" t="inlineStr">
        <is>
          <t>Unit</t>
        </is>
      </c>
      <c r="H10" s="34" t="inlineStr">
        <is>
          <t>Rationale / Modeling Use</t>
        </is>
      </c>
      <c r="I10" s="34" t="inlineStr">
        <is>
          <t>Primary Source / Owner</t>
        </is>
      </c>
      <c r="J10" s="34" t="inlineStr">
        <is>
          <t>Review Status</t>
        </is>
      </c>
      <c r="K10" s="34" t="inlineStr">
        <is>
          <t>Reviewer Notes</t>
        </is>
      </c>
    </row>
    <row r="11" ht="51.75" customHeight="1" s="10">
      <c r="A11" s="63" t="n">
        <v>1</v>
      </c>
      <c r="B11" s="54" t="inlineStr">
        <is>
          <t>Monthly New Customers</t>
        </is>
      </c>
      <c r="C11" s="63">
        <f>Data_Entry!B20</f>
        <v/>
      </c>
      <c r="D11" s="63">
        <f>Data_Entry!C20</f>
        <v/>
      </c>
      <c r="E11" s="63">
        <f>Data_Entry!D20</f>
        <v/>
      </c>
      <c r="F11" s="63">
        <f>Data_Entry!E20</f>
        <v/>
      </c>
      <c r="G11" s="54" t="inlineStr">
        <is>
          <t>customers</t>
        </is>
      </c>
      <c r="H11" s="65" t="inlineStr">
        <is>
          <t>Driver for customer cohort model. Feeds into ending customer count, subscription revenue, and implementation revenue each month. Sensitivity: ±10 customers/month ≈ ±$36K annual revenue (Base ARPU).</t>
        </is>
      </c>
      <c r="I11" s="54" t="inlineStr">
        <is>
          <t>CRM pipeline / Sales leadership</t>
        </is>
      </c>
      <c r="J11" s="66" t="inlineStr">
        <is>
          <t>Ready for review</t>
        </is>
      </c>
      <c r="K11" s="67" t="inlineStr">
        <is>
          <t>— Pending client sign-off —</t>
        </is>
      </c>
    </row>
    <row r="12" ht="51.75" customHeight="1" s="10">
      <c r="A12" s="63" t="n">
        <v>2</v>
      </c>
      <c r="B12" s="54" t="inlineStr">
        <is>
          <t>Monthly Churn %</t>
        </is>
      </c>
      <c r="C12" s="62">
        <f>Data_Entry!B21</f>
        <v/>
      </c>
      <c r="D12" s="62">
        <f>Data_Entry!C21</f>
        <v/>
      </c>
      <c r="E12" s="62">
        <f>Data_Entry!D21</f>
        <v/>
      </c>
      <c r="F12" s="62">
        <f>Data_Entry!E21</f>
        <v/>
      </c>
      <c r="G12" s="54" t="inlineStr">
        <is>
          <t>%</t>
        </is>
      </c>
      <c r="H12" s="65" t="inlineStr">
        <is>
          <t>Applied to beginning-of-period customers. Net Revenue Retention = (1 - churn%) × 12 annualized. Base 2% monthly = ~21.5% annual churn. Sensitive driver — 0.5% change affects revenue by ~3%.</t>
        </is>
      </c>
      <c r="I12" s="54" t="inlineStr">
        <is>
          <t>Billing / retention report</t>
        </is>
      </c>
      <c r="J12" s="66" t="inlineStr">
        <is>
          <t>Ready for review</t>
        </is>
      </c>
      <c r="K12" s="67" t="inlineStr">
        <is>
          <t>— Pending client sign-off —</t>
        </is>
      </c>
    </row>
    <row r="13" ht="51.75" customHeight="1" s="10">
      <c r="A13" s="63" t="n">
        <v>3</v>
      </c>
      <c r="B13" s="54" t="inlineStr">
        <is>
          <t>Starting ARPU</t>
        </is>
      </c>
      <c r="C13" s="61">
        <f>Data_Entry!B22</f>
        <v/>
      </c>
      <c r="D13" s="61">
        <f>Data_Entry!C22</f>
        <v/>
      </c>
      <c r="E13" s="61">
        <f>Data_Entry!D22</f>
        <v/>
      </c>
      <c r="F13" s="61">
        <f>Data_Entry!E22</f>
        <v/>
      </c>
      <c r="G13" s="54" t="inlineStr">
        <is>
          <t>USD</t>
        </is>
      </c>
      <c r="H13" s="65" t="inlineStr">
        <is>
          <t>Anchor for monthly subscription revenue. Compounds monthly at Annual Price Uplift / 12. Should reconcile to billing system ARR ÷ customer count.</t>
        </is>
      </c>
      <c r="I13" s="54" t="inlineStr">
        <is>
          <t>Billing export / pricing file</t>
        </is>
      </c>
      <c r="J13" s="66" t="inlineStr">
        <is>
          <t>Ready for review</t>
        </is>
      </c>
      <c r="K13" s="67" t="inlineStr">
        <is>
          <t>— Pending client sign-off —</t>
        </is>
      </c>
    </row>
    <row r="14" ht="51.75" customHeight="1" s="10">
      <c r="A14" s="63" t="n">
        <v>4</v>
      </c>
      <c r="B14" s="54" t="inlineStr">
        <is>
          <t>Annual Price Uplift %</t>
        </is>
      </c>
      <c r="C14" s="62">
        <f>Data_Entry!B23</f>
        <v/>
      </c>
      <c r="D14" s="62">
        <f>Data_Entry!C23</f>
        <v/>
      </c>
      <c r="E14" s="62">
        <f>Data_Entry!D23</f>
        <v/>
      </c>
      <c r="F14" s="62">
        <f>Data_Entry!E23</f>
        <v/>
      </c>
      <c r="G14" s="54" t="inlineStr">
        <is>
          <t>%</t>
        </is>
      </c>
      <c r="H14" s="65" t="inlineStr">
        <is>
          <t>Applied monthly as (1 + rate/12) compounding. Base 3% = $9/month uplift on $300 ARPU in year 1. Verify against contract renewal terms and pricing strategy.</t>
        </is>
      </c>
      <c r="I14" s="54" t="inlineStr">
        <is>
          <t>Pricing strategy / management guidance</t>
        </is>
      </c>
      <c r="J14" s="66" t="inlineStr">
        <is>
          <t>Ready for review</t>
        </is>
      </c>
      <c r="K14" s="67" t="inlineStr">
        <is>
          <t>— Pending client sign-off —</t>
        </is>
      </c>
    </row>
    <row r="15" ht="51.75" customHeight="1" s="10">
      <c r="A15" s="63" t="n">
        <v>5</v>
      </c>
      <c r="B15" s="54" t="inlineStr">
        <is>
          <t>Implementation Fee / New Customer</t>
        </is>
      </c>
      <c r="C15" s="61">
        <f>Data_Entry!B24</f>
        <v/>
      </c>
      <c r="D15" s="61">
        <f>Data_Entry!C24</f>
        <v/>
      </c>
      <c r="E15" s="61">
        <f>Data_Entry!D24</f>
        <v/>
      </c>
      <c r="F15" s="61">
        <f>Data_Entry!E24</f>
        <v/>
      </c>
      <c r="G15" s="54" t="inlineStr">
        <is>
          <t>USD</t>
        </is>
      </c>
      <c r="H15" s="65" t="inlineStr">
        <is>
          <t>One-time fee per new customer. Revenue recognized in month of onboarding. Directly multiplied by monthly new customer adds. High impact in early growth phase.</t>
        </is>
      </c>
      <c r="I15" s="54" t="inlineStr">
        <is>
          <t>Contracts / sales order form</t>
        </is>
      </c>
      <c r="J15" s="66" t="inlineStr">
        <is>
          <t>Ready for review</t>
        </is>
      </c>
      <c r="K15" s="67" t="inlineStr">
        <is>
          <t>— Pending client sign-off —</t>
        </is>
      </c>
    </row>
    <row r="16" ht="51.75" customHeight="1" s="10">
      <c r="A16" s="63" t="n">
        <v>6</v>
      </c>
      <c r="B16" s="54" t="inlineStr">
        <is>
          <t>COGS % Revenue</t>
        </is>
      </c>
      <c r="C16" s="62">
        <f>Data_Entry!B25</f>
        <v/>
      </c>
      <c r="D16" s="62">
        <f>Data_Entry!C25</f>
        <v/>
      </c>
      <c r="E16" s="62">
        <f>Data_Entry!D25</f>
        <v/>
      </c>
      <c r="F16" s="62">
        <f>Data_Entry!E25</f>
        <v/>
      </c>
      <c r="G16" s="54" t="inlineStr">
        <is>
          <t>%</t>
        </is>
      </c>
      <c r="H16" s="65" t="inlineStr">
        <is>
          <t>Blended direct delivery cost rate. Covers hosting, support, and variable COGS. Applied to total revenue monthly. Gross margin = 1 - COGS%. Base: 85% gross margin.</t>
        </is>
      </c>
      <c r="I16" s="54" t="inlineStr">
        <is>
          <t>Historical P&amp;L / unit economics</t>
        </is>
      </c>
      <c r="J16" s="66" t="inlineStr">
        <is>
          <t>Ready for review</t>
        </is>
      </c>
      <c r="K16" s="67" t="inlineStr">
        <is>
          <t>— Pending client sign-off —</t>
        </is>
      </c>
    </row>
    <row r="17" ht="51.75" customHeight="1" s="10">
      <c r="A17" s="63" t="n">
        <v>7</v>
      </c>
      <c r="B17" s="54" t="inlineStr">
        <is>
          <t>Benefits % Payroll</t>
        </is>
      </c>
      <c r="C17" s="62">
        <f>Data_Entry!B26</f>
        <v/>
      </c>
      <c r="D17" s="62">
        <f>Data_Entry!C26</f>
        <v/>
      </c>
      <c r="E17" s="62">
        <f>Data_Entry!D26</f>
        <v/>
      </c>
      <c r="F17" s="62">
        <f>Data_Entry!E26</f>
        <v/>
      </c>
      <c r="G17" s="54" t="inlineStr">
        <is>
          <t>%</t>
        </is>
      </c>
      <c r="H17" s="65" t="inlineStr">
        <is>
          <t>Loaded on top of base salary to capture payroll taxes, health, and benefits. Applied uniformly across all departments. Base 18% is conservative — typical SaaS range 15–25%.</t>
        </is>
      </c>
      <c r="I17" s="54" t="inlineStr">
        <is>
          <t>Payroll burden / benefits policy</t>
        </is>
      </c>
      <c r="J17" s="66" t="inlineStr">
        <is>
          <t>Ready for review</t>
        </is>
      </c>
      <c r="K17" s="67" t="inlineStr">
        <is>
          <t>— Pending client sign-off —</t>
        </is>
      </c>
    </row>
    <row r="18" ht="51.75" customHeight="1" s="10">
      <c r="A18" s="63" t="n">
        <v>8</v>
      </c>
      <c r="B18" s="54" t="inlineStr">
        <is>
          <t>Tax Rate</t>
        </is>
      </c>
      <c r="C18" s="62">
        <f>Data_Entry!B27</f>
        <v/>
      </c>
      <c r="D18" s="62">
        <f>Data_Entry!C27</f>
        <v/>
      </c>
      <c r="E18" s="62">
        <f>Data_Entry!D27</f>
        <v/>
      </c>
      <c r="F18" s="62">
        <f>Data_Entry!E27</f>
        <v/>
      </c>
      <c r="G18" s="54" t="inlineStr">
        <is>
          <t>%</t>
        </is>
      </c>
      <c r="H18" s="65" t="inlineStr">
        <is>
          <t>Effective planning rate applied to EBT when positive (MAX(0, EBT × rate)). Tax is only recognized on profit — no negative tax in loss months. Verify with tax advisor.</t>
        </is>
      </c>
      <c r="I18" s="54" t="inlineStr">
        <is>
          <t>Tax planning / historical ETR</t>
        </is>
      </c>
      <c r="J18" s="66" t="inlineStr">
        <is>
          <t>Ready for review</t>
        </is>
      </c>
      <c r="K18" s="67" t="inlineStr">
        <is>
          <t>— Pending client sign-off —</t>
        </is>
      </c>
    </row>
    <row r="19" ht="51.75" customHeight="1" s="10">
      <c r="A19" s="63" t="n">
        <v>9</v>
      </c>
      <c r="B19" s="54" t="inlineStr">
        <is>
          <t>DSO</t>
        </is>
      </c>
      <c r="C19" s="63">
        <f>Data_Entry!B28</f>
        <v/>
      </c>
      <c r="D19" s="63">
        <f>Data_Entry!C28</f>
        <v/>
      </c>
      <c r="E19" s="63">
        <f>Data_Entry!D28</f>
        <v/>
      </c>
      <c r="F19" s="63">
        <f>Data_Entry!E28</f>
        <v/>
      </c>
      <c r="G19" s="54" t="inlineStr">
        <is>
          <t>days</t>
        </is>
      </c>
      <c r="H19" s="65" t="inlineStr">
        <is>
          <t>Days sales outstanding. Used to calculate AR balance = Revenue × DSO / 30. Drives working capital needs. Lower DSO = faster collections = better cash conversion.</t>
        </is>
      </c>
      <c r="I19" s="54" t="inlineStr">
        <is>
          <t>AR aging / collections trend</t>
        </is>
      </c>
      <c r="J19" s="66" t="inlineStr">
        <is>
          <t>Ready for review</t>
        </is>
      </c>
      <c r="K19" s="67" t="inlineStr">
        <is>
          <t>— Pending client sign-off —</t>
        </is>
      </c>
    </row>
    <row r="20" ht="51.75" customHeight="1" s="10">
      <c r="A20" s="63" t="n">
        <v>10</v>
      </c>
      <c r="B20" s="54" t="inlineStr">
        <is>
          <t>DPO</t>
        </is>
      </c>
      <c r="C20" s="63">
        <f>Data_Entry!B29</f>
        <v/>
      </c>
      <c r="D20" s="63">
        <f>Data_Entry!C29</f>
        <v/>
      </c>
      <c r="E20" s="63">
        <f>Data_Entry!D29</f>
        <v/>
      </c>
      <c r="F20" s="63">
        <f>Data_Entry!E29</f>
        <v/>
      </c>
      <c r="G20" s="54" t="inlineStr">
        <is>
          <t>days</t>
        </is>
      </c>
      <c r="H20" s="65" t="inlineStr">
        <is>
          <t>Days payable outstanding. Used to calculate AP balance = COGS × DPO / 30. Higher DPO = slower payments = more supplier financing. Should align with vendor agreements.</t>
        </is>
      </c>
      <c r="I20" s="54" t="inlineStr">
        <is>
          <t>AP aging / payment cadence</t>
        </is>
      </c>
      <c r="J20" s="66" t="inlineStr">
        <is>
          <t>Ready for review</t>
        </is>
      </c>
      <c r="K20" s="67" t="inlineStr">
        <is>
          <t>— Pending client sign-off —</t>
        </is>
      </c>
    </row>
    <row r="21" ht="51.75" customHeight="1" s="10">
      <c r="A21" s="63" t="n">
        <v>11</v>
      </c>
      <c r="B21" s="54" t="inlineStr">
        <is>
          <t>Interest Rate</t>
        </is>
      </c>
      <c r="C21" s="62">
        <f>Data_Entry!B30</f>
        <v/>
      </c>
      <c r="D21" s="62">
        <f>Data_Entry!C30</f>
        <v/>
      </c>
      <c r="E21" s="62">
        <f>Data_Entry!D30</f>
        <v/>
      </c>
      <c r="F21" s="62">
        <f>Data_Entry!E30</f>
        <v/>
      </c>
      <c r="G21" s="54" t="inlineStr">
        <is>
          <t>%</t>
        </is>
      </c>
      <c r="H21" s="65" t="inlineStr">
        <is>
          <t>Annual rate applied to average opening debt balance monthly (rate / 12). Represents blended cost of all debt facilities. Update when refinancing or drawing new facilities.</t>
        </is>
      </c>
      <c r="I21" s="54" t="inlineStr">
        <is>
          <t>Debt agreement / treasury plan</t>
        </is>
      </c>
      <c r="J21" s="66" t="inlineStr">
        <is>
          <t>Ready for review</t>
        </is>
      </c>
      <c r="K21" s="67" t="inlineStr">
        <is>
          <t>— Pending client sign-off —</t>
        </is>
      </c>
    </row>
    <row r="22" ht="51.75" customHeight="1" s="10">
      <c r="A22" s="63" t="n">
        <v>12</v>
      </c>
      <c r="B22" s="54" t="inlineStr">
        <is>
          <t>Depreciation Life (months)</t>
        </is>
      </c>
      <c r="C22" s="63">
        <f>Data_Entry!B31</f>
        <v/>
      </c>
      <c r="D22" s="63">
        <f>Data_Entry!C31</f>
        <v/>
      </c>
      <c r="E22" s="63">
        <f>Data_Entry!D31</f>
        <v/>
      </c>
      <c r="F22" s="63">
        <f>Data_Entry!E31</f>
        <v/>
      </c>
      <c r="G22" s="54" t="inlineStr">
        <is>
          <t>months</t>
        </is>
      </c>
      <c r="H22" s="65" t="inlineStr">
        <is>
          <t>Straight-line depreciation over this period (months). Depreciation = Capex / Life per month. 36 months = 3-year useful life — typical for SaaS infrastructure and equipment.</t>
        </is>
      </c>
      <c r="I22" s="54" t="inlineStr">
        <is>
          <t>Accounting policy</t>
        </is>
      </c>
      <c r="J22" s="66" t="inlineStr">
        <is>
          <t>Ready for review</t>
        </is>
      </c>
      <c r="K22" s="67" t="inlineStr">
        <is>
          <t>— Pending client sign-off —</t>
        </is>
      </c>
    </row>
    <row r="23" ht="51.75" customHeight="1" s="10">
      <c r="A23" s="63" t="n">
        <v>13</v>
      </c>
      <c r="B23" s="54" t="inlineStr">
        <is>
          <t>Capex % Revenue</t>
        </is>
      </c>
      <c r="C23" s="62">
        <f>Data_Entry!B32</f>
        <v/>
      </c>
      <c r="D23" s="62">
        <f>Data_Entry!C32</f>
        <v/>
      </c>
      <c r="E23" s="62">
        <f>Data_Entry!D32</f>
        <v/>
      </c>
      <c r="F23" s="62">
        <f>Data_Entry!E32</f>
        <v/>
      </c>
      <c r="G23" s="54" t="inlineStr">
        <is>
          <t>%</t>
        </is>
      </c>
      <c r="H23" s="65" t="inlineStr">
        <is>
          <t>Capital expenditure as a percent of revenue. Low for pure SaaS (asset-light). Drives Capex schedule, depreciation, and PP&amp;E on balance sheet. Verify against capex plan.</t>
        </is>
      </c>
      <c r="I23" s="54" t="inlineStr">
        <is>
          <t>Capex plan / board budget</t>
        </is>
      </c>
      <c r="J23" s="66" t="inlineStr">
        <is>
          <t>Ready for review</t>
        </is>
      </c>
      <c r="K23" s="67" t="inlineStr">
        <is>
          <t>— Pending client sign-off —</t>
        </is>
      </c>
    </row>
    <row r="24" ht="51.75" customHeight="1" s="10">
      <c r="A24" s="63" t="n">
        <v>14</v>
      </c>
      <c r="B24" s="54" t="inlineStr">
        <is>
          <t>Marketing Programs % Revenue</t>
        </is>
      </c>
      <c r="C24" s="62">
        <f>Data_Entry!B43</f>
        <v/>
      </c>
      <c r="D24" s="62">
        <f>Data_Entry!C43</f>
        <v/>
      </c>
      <c r="E24" s="62">
        <f>Data_Entry!D43</f>
        <v/>
      </c>
      <c r="F24" s="62">
        <f>Data_Entry!E43</f>
        <v/>
      </c>
      <c r="G24" s="54" t="inlineStr">
        <is>
          <t>%</t>
        </is>
      </c>
      <c r="H24" s="65" t="inlineStr">
        <is>
          <t>Demand generation spend as % of revenue. Separate from payroll-based marketing salaries. Covers paid acquisition, events, and campaigns. Higher in Upside to fund growth.</t>
        </is>
      </c>
      <c r="I24" s="54" t="inlineStr">
        <is>
          <t>Marketing budget / demand plan</t>
        </is>
      </c>
      <c r="J24" s="66" t="inlineStr">
        <is>
          <t>Ready for review</t>
        </is>
      </c>
      <c r="K24" s="67" t="inlineStr">
        <is>
          <t>— Pending client sign-off —</t>
        </is>
      </c>
    </row>
    <row r="25" ht="51.75" customHeight="1" s="10">
      <c r="A25" s="63" t="n">
        <v>15</v>
      </c>
      <c r="B25" s="54" t="inlineStr">
        <is>
          <t>Travel % Revenue</t>
        </is>
      </c>
      <c r="C25" s="62">
        <f>Data_Entry!B46</f>
        <v/>
      </c>
      <c r="D25" s="62">
        <f>Data_Entry!C46</f>
        <v/>
      </c>
      <c r="E25" s="62">
        <f>Data_Entry!D46</f>
        <v/>
      </c>
      <c r="F25" s="62">
        <f>Data_Entry!E46</f>
        <v/>
      </c>
      <c r="G25" s="54" t="inlineStr">
        <is>
          <t>%</t>
        </is>
      </c>
      <c r="H25" s="65" t="inlineStr">
        <is>
          <t>Travel and entertainment as % of revenue. Scales with revenue growth. Base 1% is typical for B2B SaaS at this stage. Adjust for remote-first or field-heavy teams.</t>
        </is>
      </c>
      <c r="I25" s="54" t="inlineStr">
        <is>
          <t>Historical spend / travel policy</t>
        </is>
      </c>
      <c r="J25" s="66" t="inlineStr">
        <is>
          <t>Ready for review</t>
        </is>
      </c>
      <c r="K25" s="67" t="inlineStr">
        <is>
          <t>— Pending client sign-off —</t>
        </is>
      </c>
    </row>
    <row r="26" ht="51.75" customHeight="1" s="10">
      <c r="A26" s="63" t="n">
        <v>16</v>
      </c>
      <c r="B26" s="54" t="inlineStr">
        <is>
          <t>Sales Salary</t>
        </is>
      </c>
      <c r="C26" s="61">
        <f>Data_Entry!B38</f>
        <v/>
      </c>
      <c r="D26" s="61">
        <f>Data_Entry!C38</f>
        <v/>
      </c>
      <c r="E26" s="61">
        <f>Data_Entry!D38</f>
        <v/>
      </c>
      <c r="F26" s="61">
        <f>Data_Entry!E38</f>
        <v/>
      </c>
      <c r="G26" s="54" t="inlineStr">
        <is>
          <t>USD / yr</t>
        </is>
      </c>
      <c r="H26" s="65" t="inlineStr">
        <is>
          <t>Average annual base salary for Sales team. Used with Benefits % to compute fully loaded monthly payroll per FTE. Multiply by headcount and divide by 12 for monthly expense.</t>
        </is>
      </c>
      <c r="I26" s="54" t="inlineStr">
        <is>
          <t>Payroll / comp plan</t>
        </is>
      </c>
      <c r="J26" s="66" t="inlineStr">
        <is>
          <t>Ready for review</t>
        </is>
      </c>
      <c r="K26" s="67" t="inlineStr">
        <is>
          <t>— Pending client sign-off —</t>
        </is>
      </c>
    </row>
  </sheetData>
  <mergeCells count="5">
    <mergeCell ref="A4:K4"/>
    <mergeCell ref="A2:H2"/>
    <mergeCell ref="F7:K7"/>
    <mergeCell ref="A1:H1"/>
    <mergeCell ref="A9:K9"/>
  </mergeCells>
  <dataValidations count="1">
    <dataValidation sqref="J11:J26" showDropDown="0" showInputMessage="0" showErrorMessage="0" allowBlank="1" type="list">
      <formula1>"Draft,Reviewed,Approved"</formula1>
      <formula2>0</formula2>
    </dataValidation>
  </dataValidation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zoomScaleNormal="100" workbookViewId="0">
      <selection activeCell="A1" sqref="A1"/>
    </sheetView>
  </sheetViews>
  <sheetFormatPr baseColWidth="8" defaultColWidth="8.7109375" defaultRowHeight="12.75"/>
  <cols>
    <col width="4" customWidth="1" style="10" min="1" max="1"/>
    <col width="22" customWidth="1" style="10" min="2" max="2"/>
    <col width="16" customWidth="1" style="10" min="3" max="4"/>
    <col width="48" customWidth="1" style="10" min="5" max="5"/>
  </cols>
  <sheetData>
    <row r="1" ht="24" customHeight="1" s="10">
      <c r="A1" s="15" t="n"/>
      <c r="B1" s="16" t="inlineStr">
        <is>
          <t>Control Panel</t>
        </is>
      </c>
      <c r="C1" s="15" t="n"/>
      <c r="D1" s="15" t="n"/>
      <c r="E1" s="15" t="n"/>
    </row>
    <row r="2" ht="18" customHeight="1" s="10">
      <c r="A2" s="17" t="inlineStr">
        <is>
          <t>Select the scenario and review the color coding used in the file.</t>
        </is>
      </c>
      <c r="B2" s="15" t="n"/>
      <c r="C2" s="15" t="n"/>
      <c r="D2" s="15" t="n"/>
      <c r="E2" s="15" t="n"/>
    </row>
    <row r="3" ht="18" customHeight="1" s="10">
      <c r="A3" s="15" t="n"/>
      <c r="B3" s="15" t="n"/>
      <c r="C3" s="15" t="n"/>
      <c r="D3" s="15" t="n"/>
      <c r="E3" s="15" t="n"/>
    </row>
    <row r="4" ht="18" customHeight="1" s="10">
      <c r="A4" s="18" t="n"/>
      <c r="B4" s="31" t="inlineStr">
        <is>
          <t>Model Controls</t>
        </is>
      </c>
      <c r="C4" s="145" t="n"/>
      <c r="D4" s="145" t="n"/>
      <c r="E4" s="145" t="n"/>
    </row>
    <row r="5" ht="18" customHeight="1" s="10">
      <c r="A5" s="18" t="n"/>
      <c r="B5" s="34" t="inlineStr">
        <is>
          <t>Scenario</t>
        </is>
      </c>
      <c r="C5" s="34" t="inlineStr">
        <is>
          <t>Selected</t>
        </is>
      </c>
      <c r="D5" s="34" t="inlineStr">
        <is>
          <t>Notes</t>
        </is>
      </c>
    </row>
    <row r="6" ht="18" customHeight="1" s="10">
      <c r="A6" s="18" t="n"/>
      <c r="B6" t="inlineStr">
        <is>
          <t>Base / Upside / Downside</t>
        </is>
      </c>
      <c r="C6" s="68">
        <f>Data_Entry!$B$5</f>
        <v/>
      </c>
      <c r="D6" s="20" t="inlineStr">
        <is>
          <t>Change the scenario on Data_Entry to update the full model.</t>
        </is>
      </c>
    </row>
    <row r="7" ht="18" customHeight="1" s="10">
      <c r="A7" s="18" t="n"/>
    </row>
    <row r="8" ht="18" customHeight="1" s="10">
      <c r="A8" s="18" t="n"/>
      <c r="B8" s="69" t="inlineStr">
        <is>
          <t>Color legend</t>
        </is>
      </c>
    </row>
    <row r="9" ht="18" customHeight="1" s="10">
      <c r="A9" s="18" t="n"/>
      <c r="B9" t="inlineStr">
        <is>
          <t>Input / editable</t>
        </is>
      </c>
      <c r="C9" s="70" t="inlineStr">
        <is>
          <t>Sample</t>
        </is>
      </c>
    </row>
    <row r="10" ht="18" customHeight="1" s="10">
      <c r="A10" s="18" t="n"/>
      <c r="B10" t="inlineStr">
        <is>
          <t>Formula</t>
        </is>
      </c>
      <c r="C10" s="71" t="inlineStr">
        <is>
          <t>Sample</t>
        </is>
      </c>
    </row>
    <row r="11" ht="18" customHeight="1" s="10">
      <c r="A11" s="18" t="n"/>
      <c r="B11" t="inlineStr">
        <is>
          <t>Cross-sheet link</t>
        </is>
      </c>
      <c r="C11" s="68" t="inlineStr">
        <is>
          <t>Sample</t>
        </is>
      </c>
    </row>
    <row r="12" ht="18" customHeight="1" s="10">
      <c r="A12" s="18" t="n"/>
      <c r="B12" t="inlineStr">
        <is>
          <t>Static / note</t>
        </is>
      </c>
      <c r="C12" s="20" t="inlineStr">
        <is>
          <t>Sample</t>
        </is>
      </c>
    </row>
    <row r="13" ht="18" customHeight="1" s="10">
      <c r="A13" s="18" t="n"/>
      <c r="B13" t="inlineStr">
        <is>
          <t>Flag / review</t>
        </is>
      </c>
      <c r="C13" s="72" t="inlineStr">
        <is>
          <t>Sample</t>
        </is>
      </c>
    </row>
    <row r="14" ht="18" customHeight="1" s="10">
      <c r="A14" s="18" t="n"/>
    </row>
    <row r="15" ht="18" customHeight="1" s="10">
      <c r="A15" s="18" t="n"/>
    </row>
    <row r="16" ht="18" customHeight="1" s="10">
      <c r="A16" s="18" t="n"/>
      <c r="B16" s="31" t="inlineStr">
        <is>
          <t>Model Map</t>
        </is>
      </c>
      <c r="C16" s="145" t="n"/>
      <c r="D16" s="145" t="n"/>
      <c r="E16" s="145" t="n"/>
    </row>
    <row r="17" ht="18" customHeight="1" s="10">
      <c r="A17" s="18" t="n"/>
      <c r="B17" s="34" t="inlineStr">
        <is>
          <t>Sheet</t>
        </is>
      </c>
      <c r="C17" s="34" t="inlineStr">
        <is>
          <t>Purpose</t>
        </is>
      </c>
    </row>
    <row r="18" ht="18" customHeight="1" s="10">
      <c r="A18" s="18" t="n"/>
      <c r="B18" s="20" t="inlineStr">
        <is>
          <t>Data_Entry</t>
        </is>
      </c>
      <c r="C18" s="20" t="inlineStr">
        <is>
          <t>Single place for scenario, assumptions, hiring plan, and debt inputs</t>
        </is>
      </c>
    </row>
    <row r="19" ht="18" customHeight="1" s="10">
      <c r="A19" s="18" t="n"/>
      <c r="B19" s="73" t="inlineStr">
        <is>
          <t>Revenue</t>
        </is>
      </c>
      <c r="C19" s="73" t="inlineStr">
        <is>
          <t>Customers, ARPU, revenue &amp; gross profit</t>
        </is>
      </c>
    </row>
    <row r="20" ht="18" customHeight="1" s="10">
      <c r="A20" s="18" t="n"/>
      <c r="B20" s="73" t="inlineStr">
        <is>
          <t>Headcount</t>
        </is>
      </c>
      <c r="C20" s="73" t="inlineStr">
        <is>
          <t>Hiring plan and payroll expense</t>
        </is>
      </c>
    </row>
    <row r="21" ht="18" customHeight="1" s="10">
      <c r="A21" s="18" t="n"/>
      <c r="B21" s="73" t="inlineStr">
        <is>
          <t>Opex</t>
        </is>
      </c>
      <c r="C21" s="73" t="inlineStr">
        <is>
          <t>Non-payroll operating expenses</t>
        </is>
      </c>
    </row>
    <row r="22" ht="18" customHeight="1" s="10">
      <c r="A22" s="18" t="n"/>
      <c r="B22" s="73" t="inlineStr">
        <is>
          <t>Working_Capital</t>
        </is>
      </c>
      <c r="C22" s="73" t="inlineStr">
        <is>
          <t>AR / AP balances and deltas</t>
        </is>
      </c>
    </row>
    <row r="23" ht="18" customHeight="1" s="10">
      <c r="A23" s="18" t="n"/>
      <c r="B23" s="73" t="inlineStr">
        <is>
          <t>Capex</t>
        </is>
      </c>
      <c r="C23" s="73" t="inlineStr">
        <is>
          <t>Capex and depreciation</t>
        </is>
      </c>
    </row>
    <row r="24" ht="18" customHeight="1" s="10">
      <c r="A24" s="18" t="n"/>
      <c r="B24" s="73" t="inlineStr">
        <is>
          <t>Debt</t>
        </is>
      </c>
      <c r="C24" s="73" t="inlineStr">
        <is>
          <t>Debt balance and interest</t>
        </is>
      </c>
    </row>
    <row r="25" ht="18" customHeight="1" s="10">
      <c r="A25" s="18" t="n"/>
      <c r="B25" s="73" t="inlineStr">
        <is>
          <t>IS / CF / BS</t>
        </is>
      </c>
      <c r="C25" s="73" t="inlineStr">
        <is>
          <t>3 integrated statements</t>
        </is>
      </c>
    </row>
    <row r="26" ht="18" customHeight="1" s="10">
      <c r="A26" s="18" t="n"/>
      <c r="B26" s="73" t="inlineStr">
        <is>
          <t>Dashboard / Checks</t>
        </is>
      </c>
      <c r="C26" s="73" t="inlineStr">
        <is>
          <t>KPI snapshot and QA tests</t>
        </is>
      </c>
    </row>
    <row r="27" ht="18" customHeight="1" s="10"/>
    <row r="28" ht="18" customHeight="1" s="10"/>
    <row r="29" ht="18" customHeight="1" s="10"/>
    <row r="30" ht="18" customHeight="1" s="10"/>
    <row r="31" ht="18" customHeight="1" s="10"/>
    <row r="32" ht="18" customHeight="1" s="10"/>
    <row r="33" ht="18" customHeight="1" s="10"/>
    <row r="34" ht="18" customHeight="1" s="10"/>
    <row r="35" ht="18" customHeight="1" s="10"/>
    <row r="36" ht="18" customHeight="1" s="10"/>
    <row r="37" ht="18" customHeight="1" s="10"/>
    <row r="38" ht="18" customHeight="1" s="10"/>
    <row r="39" ht="18" customHeight="1" s="10"/>
    <row r="40" ht="18" customHeight="1" s="10"/>
    <row r="41" ht="18" customHeight="1" s="10"/>
    <row r="42" ht="18" customHeight="1" s="10"/>
    <row r="43" ht="18" customHeight="1" s="10"/>
    <row r="44" ht="18" customHeight="1" s="10"/>
    <row r="45" ht="18" customHeight="1" s="10"/>
    <row r="46" ht="18" customHeight="1" s="10"/>
    <row r="47" ht="18" customHeight="1" s="10"/>
    <row r="48" ht="18" customHeight="1" s="10"/>
    <row r="49" ht="18" customHeight="1" s="10"/>
    <row r="50" ht="18" customHeight="1" s="10"/>
    <row r="51" ht="18" customHeight="1" s="10"/>
    <row r="52" ht="18" customHeight="1" s="10"/>
    <row r="53" ht="18" customHeight="1" s="10"/>
    <row r="54" ht="18" customHeight="1" s="10"/>
    <row r="55" ht="18" customHeight="1" s="10"/>
    <row r="56" ht="18" customHeight="1" s="10"/>
    <row r="57" ht="18" customHeight="1" s="10"/>
    <row r="58" ht="18" customHeight="1" s="10"/>
    <row r="59" ht="18" customHeight="1" s="10"/>
    <row r="60" ht="18" customHeight="1" s="10"/>
    <row r="61" ht="18" customHeight="1" s="10"/>
    <row r="62" ht="18" customHeight="1" s="10"/>
    <row r="63" ht="18" customHeight="1" s="10"/>
    <row r="64" ht="18" customHeight="1" s="10"/>
    <row r="65" ht="18" customHeight="1" s="10"/>
    <row r="66" ht="18" customHeight="1" s="10"/>
    <row r="67" ht="18" customHeight="1" s="10"/>
    <row r="68" ht="18" customHeight="1" s="10"/>
    <row r="69" ht="18" customHeight="1" s="10"/>
    <row r="70" ht="18" customHeight="1" s="10"/>
    <row r="71" ht="18" customHeight="1" s="10"/>
    <row r="72" ht="18" customHeight="1" s="10"/>
    <row r="73" ht="18" customHeight="1" s="10"/>
    <row r="74" ht="18" customHeight="1" s="10"/>
    <row r="75" ht="18" customHeight="1" s="10"/>
    <row r="76" ht="18" customHeight="1" s="10"/>
    <row r="77" ht="18" customHeight="1" s="10"/>
    <row r="78" ht="18" customHeight="1" s="10"/>
    <row r="79" ht="18" customHeight="1" s="10"/>
  </sheetData>
  <mergeCells count="2">
    <mergeCell ref="B4:E4"/>
    <mergeCell ref="B16:E16"/>
  </mergeCells>
  <dataValidations count="1">
    <dataValidation sqref="C6" showDropDown="0" showInputMessage="0" showErrorMessage="0" allowBlank="0" type="list">
      <formula1>"Base,Upside,Downside"</formula1>
      <formula2>0</formula2>
    </dataValidation>
  </dataValidations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zoomScaleNormal="100" workbookViewId="0">
      <selection activeCell="A1" sqref="A1"/>
    </sheetView>
  </sheetViews>
  <sheetFormatPr baseColWidth="8" defaultColWidth="8.7109375" defaultRowHeight="12.75"/>
  <cols>
    <col width="4" customWidth="1" style="10" min="1" max="1"/>
    <col width="34" customWidth="1" style="10" min="2" max="2"/>
    <col width="14" customWidth="1" style="10" min="3" max="7"/>
    <col width="42" customWidth="1" style="10" min="8" max="8"/>
  </cols>
  <sheetData>
    <row r="1" ht="24" customHeight="1" s="10">
      <c r="A1" s="15" t="n"/>
      <c r="B1" s="74" t="inlineStr">
        <is>
          <t>Assumptions &amp; Scenario Drivers</t>
        </is>
      </c>
      <c r="C1" s="15" t="n"/>
      <c r="D1" s="15" t="n"/>
      <c r="E1" s="15" t="n"/>
      <c r="F1" s="15" t="n"/>
      <c r="G1" s="15" t="n"/>
      <c r="H1" s="15" t="n"/>
    </row>
    <row r="2" ht="18" customHeight="1" s="10">
      <c r="A2" s="75" t="inlineStr">
        <is>
          <t>Illustrative assumptions. Replace these with real client data during live engagement.</t>
        </is>
      </c>
      <c r="B2" s="15" t="n"/>
      <c r="C2" s="15" t="n"/>
      <c r="D2" s="15" t="n"/>
      <c r="E2" s="15" t="n"/>
      <c r="F2" s="15" t="n"/>
      <c r="G2" s="15" t="n"/>
      <c r="H2" s="15" t="n"/>
    </row>
    <row r="3" ht="18" customHeight="1" s="10">
      <c r="A3" s="15" t="n"/>
      <c r="B3" s="15" t="n"/>
      <c r="C3" s="15" t="n"/>
      <c r="D3" s="15" t="n"/>
      <c r="E3" s="15" t="n"/>
      <c r="F3" s="15" t="n"/>
      <c r="G3" s="15" t="n"/>
      <c r="H3" s="15" t="n"/>
    </row>
    <row r="4" ht="18" customHeight="1" s="10">
      <c r="A4" s="18" t="n"/>
      <c r="B4" s="33" t="inlineStr">
        <is>
          <t>Core Assumptions</t>
        </is>
      </c>
      <c r="C4" s="145" t="n"/>
      <c r="D4" s="145" t="n"/>
      <c r="E4" s="145" t="n"/>
      <c r="F4" s="145" t="n"/>
      <c r="G4" s="145" t="n"/>
      <c r="H4" s="145" t="n"/>
    </row>
    <row r="5" ht="18" customHeight="1" s="10">
      <c r="A5" s="18" t="n"/>
      <c r="B5" s="34" t="inlineStr">
        <is>
          <t>Metric</t>
        </is>
      </c>
      <c r="C5" s="34" t="inlineStr">
        <is>
          <t>Base</t>
        </is>
      </c>
      <c r="D5" s="34" t="inlineStr">
        <is>
          <t>Upside</t>
        </is>
      </c>
      <c r="E5" s="34" t="inlineStr">
        <is>
          <t>Downside</t>
        </is>
      </c>
      <c r="F5" s="34" t="inlineStr">
        <is>
          <t>Selected</t>
        </is>
      </c>
      <c r="G5" s="34" t="inlineStr">
        <is>
          <t>Units</t>
        </is>
      </c>
      <c r="H5" s="34" t="inlineStr">
        <is>
          <t>Notes</t>
        </is>
      </c>
    </row>
    <row r="6" ht="18" customHeight="1" s="10">
      <c r="A6" s="18" t="n"/>
      <c r="B6" s="73" t="inlineStr">
        <is>
          <t>Model Start Date</t>
        </is>
      </c>
      <c r="C6" s="76">
        <f>Data_Entry!$B$11</f>
        <v/>
      </c>
      <c r="D6" s="76">
        <f>Data_Entry!$C$11</f>
        <v/>
      </c>
      <c r="E6" s="76">
        <f>Data_Entry!$D$11</f>
        <v/>
      </c>
      <c r="F6" s="76">
        <f>Data_Entry!$E$11</f>
        <v/>
      </c>
      <c r="G6" s="77" t="inlineStr">
        <is>
          <t>date</t>
        </is>
      </c>
      <c r="H6" s="77" t="inlineStr">
        <is>
          <t>Timeline start for monthly forecast</t>
        </is>
      </c>
    </row>
    <row r="7" ht="18" customHeight="1" s="10">
      <c r="A7" s="18" t="n"/>
      <c r="B7" s="73" t="inlineStr">
        <is>
          <t>Initial Cash</t>
        </is>
      </c>
      <c r="C7" s="78">
        <f>Data_Entry!$B$12</f>
        <v/>
      </c>
      <c r="D7" s="78">
        <f>Data_Entry!$C$12</f>
        <v/>
      </c>
      <c r="E7" s="78">
        <f>Data_Entry!$D$12</f>
        <v/>
      </c>
      <c r="F7" s="78">
        <f>Data_Entry!$E$12</f>
        <v/>
      </c>
      <c r="G7" s="77" t="inlineStr">
        <is>
          <t>USD</t>
        </is>
      </c>
      <c r="H7" s="77" t="inlineStr">
        <is>
          <t>Opening cash on balance sheet</t>
        </is>
      </c>
    </row>
    <row r="8" ht="18" customHeight="1" s="10">
      <c r="A8" s="18" t="n"/>
      <c r="B8" s="73" t="inlineStr">
        <is>
          <t>Initial AR</t>
        </is>
      </c>
      <c r="C8" s="78">
        <f>Data_Entry!$B$13</f>
        <v/>
      </c>
      <c r="D8" s="78">
        <f>Data_Entry!$C$13</f>
        <v/>
      </c>
      <c r="E8" s="78">
        <f>Data_Entry!$D$13</f>
        <v/>
      </c>
      <c r="F8" s="78">
        <f>Data_Entry!$E$13</f>
        <v/>
      </c>
      <c r="G8" s="77" t="inlineStr">
        <is>
          <t>USD</t>
        </is>
      </c>
      <c r="H8" s="77" t="inlineStr">
        <is>
          <t>Opening accounts receivable</t>
        </is>
      </c>
    </row>
    <row r="9" ht="18" customHeight="1" s="10">
      <c r="A9" s="18" t="n"/>
      <c r="B9" s="73" t="inlineStr">
        <is>
          <t>Initial Net PP&amp;E</t>
        </is>
      </c>
      <c r="C9" s="78">
        <f>Data_Entry!$B$14</f>
        <v/>
      </c>
      <c r="D9" s="78">
        <f>Data_Entry!$C$14</f>
        <v/>
      </c>
      <c r="E9" s="78">
        <f>Data_Entry!$D$14</f>
        <v/>
      </c>
      <c r="F9" s="78">
        <f>Data_Entry!$E$14</f>
        <v/>
      </c>
      <c r="G9" s="77" t="inlineStr">
        <is>
          <t>USD</t>
        </is>
      </c>
      <c r="H9" s="77" t="inlineStr">
        <is>
          <t>Opening net fixed assets</t>
        </is>
      </c>
    </row>
    <row r="10" ht="18" customHeight="1" s="10">
      <c r="A10" s="18" t="n"/>
      <c r="B10" s="73" t="inlineStr">
        <is>
          <t>Initial AP</t>
        </is>
      </c>
      <c r="C10" s="78">
        <f>Data_Entry!$B$15</f>
        <v/>
      </c>
      <c r="D10" s="78">
        <f>Data_Entry!$C$15</f>
        <v/>
      </c>
      <c r="E10" s="78">
        <f>Data_Entry!$D$15</f>
        <v/>
      </c>
      <c r="F10" s="78">
        <f>Data_Entry!$E$15</f>
        <v/>
      </c>
      <c r="G10" s="77" t="inlineStr">
        <is>
          <t>USD</t>
        </is>
      </c>
      <c r="H10" s="77" t="inlineStr">
        <is>
          <t>Opening accounts payable</t>
        </is>
      </c>
    </row>
    <row r="11" ht="18" customHeight="1" s="10">
      <c r="A11" s="18" t="n"/>
      <c r="B11" s="73" t="inlineStr">
        <is>
          <t>Initial Debt</t>
        </is>
      </c>
      <c r="C11" s="78">
        <f>Data_Entry!$B$16</f>
        <v/>
      </c>
      <c r="D11" s="78">
        <f>Data_Entry!$C$16</f>
        <v/>
      </c>
      <c r="E11" s="78">
        <f>Data_Entry!$D$16</f>
        <v/>
      </c>
      <c r="F11" s="78">
        <f>Data_Entry!$E$16</f>
        <v/>
      </c>
      <c r="G11" s="77" t="inlineStr">
        <is>
          <t>USD</t>
        </is>
      </c>
      <c r="H11" s="77" t="inlineStr">
        <is>
          <t>Opening interest-bearing debt</t>
        </is>
      </c>
    </row>
    <row r="12" ht="18" customHeight="1" s="10">
      <c r="A12" s="18" t="n"/>
      <c r="B12" s="73" t="inlineStr">
        <is>
          <t>Share Capital</t>
        </is>
      </c>
      <c r="C12" s="78">
        <f>Data_Entry!$B$17</f>
        <v/>
      </c>
      <c r="D12" s="78">
        <f>Data_Entry!$C$17</f>
        <v/>
      </c>
      <c r="E12" s="78">
        <f>Data_Entry!$D$17</f>
        <v/>
      </c>
      <c r="F12" s="78">
        <f>Data_Entry!$E$17</f>
        <v/>
      </c>
      <c r="G12" s="77" t="inlineStr">
        <is>
          <t>USD</t>
        </is>
      </c>
      <c r="H12" s="77" t="inlineStr">
        <is>
          <t>Static equity capital</t>
        </is>
      </c>
    </row>
    <row r="13" ht="18" customHeight="1" s="10">
      <c r="A13" s="18" t="n"/>
      <c r="B13" s="73" t="inlineStr">
        <is>
          <t>Opening Retained Earnings</t>
        </is>
      </c>
      <c r="C13" s="78">
        <f>Data_Entry!$B$18</f>
        <v/>
      </c>
      <c r="D13" s="78">
        <f>Data_Entry!$C$18</f>
        <v/>
      </c>
      <c r="E13" s="78">
        <f>Data_Entry!$D$18</f>
        <v/>
      </c>
      <c r="F13" s="78">
        <f>Data_Entry!$E$18</f>
        <v/>
      </c>
      <c r="G13" s="77" t="inlineStr">
        <is>
          <t>USD</t>
        </is>
      </c>
      <c r="H13" s="77" t="inlineStr">
        <is>
          <t>Opening retained earnings</t>
        </is>
      </c>
    </row>
    <row r="14" ht="18" customHeight="1" s="10">
      <c r="A14" s="18" t="n"/>
      <c r="B14" s="73" t="inlineStr">
        <is>
          <t>Beginning Customers</t>
        </is>
      </c>
      <c r="C14" s="79">
        <f>Data_Entry!$B$19</f>
        <v/>
      </c>
      <c r="D14" s="79">
        <f>Data_Entry!$C$19</f>
        <v/>
      </c>
      <c r="E14" s="79">
        <f>Data_Entry!$D$19</f>
        <v/>
      </c>
      <c r="F14" s="79">
        <f>Data_Entry!$E$19</f>
        <v/>
      </c>
      <c r="G14" s="77" t="inlineStr">
        <is>
          <t>customers</t>
        </is>
      </c>
      <c r="H14" s="77" t="inlineStr">
        <is>
          <t>Opening subscriber count</t>
        </is>
      </c>
    </row>
    <row r="15" ht="18" customHeight="1" s="10">
      <c r="A15" s="18" t="n"/>
      <c r="B15" s="73" t="inlineStr">
        <is>
          <t>Monthly New Customers</t>
        </is>
      </c>
      <c r="C15" s="79">
        <f>Data_Entry!$B$20</f>
        <v/>
      </c>
      <c r="D15" s="79">
        <f>Data_Entry!$C$20</f>
        <v/>
      </c>
      <c r="E15" s="79">
        <f>Data_Entry!$D$20</f>
        <v/>
      </c>
      <c r="F15" s="79">
        <f>Data_Entry!$E$20</f>
        <v/>
      </c>
      <c r="G15" s="77" t="inlineStr">
        <is>
          <t>customers</t>
        </is>
      </c>
      <c r="H15" s="77" t="inlineStr">
        <is>
          <t>Average monthly gross adds</t>
        </is>
      </c>
    </row>
    <row r="16" ht="18" customHeight="1" s="10">
      <c r="A16" s="18" t="n"/>
      <c r="B16" s="73" t="inlineStr">
        <is>
          <t>Monthly Churn %</t>
        </is>
      </c>
      <c r="C16" s="80">
        <f>Data_Entry!$B$21</f>
        <v/>
      </c>
      <c r="D16" s="80">
        <f>Data_Entry!$C$21</f>
        <v/>
      </c>
      <c r="E16" s="80">
        <f>Data_Entry!$D$21</f>
        <v/>
      </c>
      <c r="F16" s="80">
        <f>Data_Entry!$E$21</f>
        <v/>
      </c>
      <c r="G16" s="77" t="inlineStr">
        <is>
          <t>%</t>
        </is>
      </c>
      <c r="H16" s="77" t="inlineStr">
        <is>
          <t>Monthly customer churn rate</t>
        </is>
      </c>
    </row>
    <row r="17" ht="18" customHeight="1" s="10">
      <c r="A17" s="18" t="n"/>
      <c r="B17" s="73" t="inlineStr">
        <is>
          <t>Starting ARPU</t>
        </is>
      </c>
      <c r="C17" s="78">
        <f>Data_Entry!$B$22</f>
        <v/>
      </c>
      <c r="D17" s="78">
        <f>Data_Entry!$C$22</f>
        <v/>
      </c>
      <c r="E17" s="78">
        <f>Data_Entry!$D$22</f>
        <v/>
      </c>
      <c r="F17" s="78">
        <f>Data_Entry!$E$22</f>
        <v/>
      </c>
      <c r="G17" s="77" t="inlineStr">
        <is>
          <t>USD</t>
        </is>
      </c>
      <c r="H17" s="77" t="inlineStr">
        <is>
          <t>Average revenue per customer per month</t>
        </is>
      </c>
    </row>
    <row r="18" ht="18" customHeight="1" s="10">
      <c r="A18" s="18" t="n"/>
      <c r="B18" s="73" t="inlineStr">
        <is>
          <t>Annual Price Uplift %</t>
        </is>
      </c>
      <c r="C18" s="80">
        <f>Data_Entry!$B$23</f>
        <v/>
      </c>
      <c r="D18" s="80">
        <f>Data_Entry!$C$23</f>
        <v/>
      </c>
      <c r="E18" s="80">
        <f>Data_Entry!$D$23</f>
        <v/>
      </c>
      <c r="F18" s="80">
        <f>Data_Entry!$E$23</f>
        <v/>
      </c>
      <c r="G18" s="77" t="inlineStr">
        <is>
          <t>%</t>
        </is>
      </c>
      <c r="H18" s="77" t="inlineStr">
        <is>
          <t>Annual ARPU increase</t>
        </is>
      </c>
    </row>
    <row r="19" ht="18" customHeight="1" s="10">
      <c r="A19" s="18" t="n"/>
      <c r="B19" s="73" t="inlineStr">
        <is>
          <t>Implementation Fee / New Customer</t>
        </is>
      </c>
      <c r="C19" s="78">
        <f>Data_Entry!$B$24</f>
        <v/>
      </c>
      <c r="D19" s="78">
        <f>Data_Entry!$C$24</f>
        <v/>
      </c>
      <c r="E19" s="78">
        <f>Data_Entry!$D$24</f>
        <v/>
      </c>
      <c r="F19" s="78">
        <f>Data_Entry!$E$24</f>
        <v/>
      </c>
      <c r="G19" s="77" t="inlineStr">
        <is>
          <t>USD</t>
        </is>
      </c>
      <c r="H19" s="77" t="inlineStr">
        <is>
          <t>One-time onboarding fee</t>
        </is>
      </c>
    </row>
    <row r="20" ht="18" customHeight="1" s="10">
      <c r="A20" s="18" t="n"/>
      <c r="B20" s="73" t="inlineStr">
        <is>
          <t>COGS % Revenue</t>
        </is>
      </c>
      <c r="C20" s="80">
        <f>Data_Entry!$B$25</f>
        <v/>
      </c>
      <c r="D20" s="80">
        <f>Data_Entry!$C$25</f>
        <v/>
      </c>
      <c r="E20" s="80">
        <f>Data_Entry!$D$25</f>
        <v/>
      </c>
      <c r="F20" s="80">
        <f>Data_Entry!$E$25</f>
        <v/>
      </c>
      <c r="G20" s="77" t="inlineStr">
        <is>
          <t>%</t>
        </is>
      </c>
      <c r="H20" s="77" t="inlineStr">
        <is>
          <t>Direct service delivery cost as % of revenue</t>
        </is>
      </c>
    </row>
    <row r="21" ht="18" customHeight="1" s="10">
      <c r="A21" s="18" t="n"/>
      <c r="B21" s="73" t="inlineStr">
        <is>
          <t>Benefits % Payroll</t>
        </is>
      </c>
      <c r="C21" s="80">
        <f>Data_Entry!$B$26</f>
        <v/>
      </c>
      <c r="D21" s="80">
        <f>Data_Entry!$C$26</f>
        <v/>
      </c>
      <c r="E21" s="80">
        <f>Data_Entry!$D$26</f>
        <v/>
      </c>
      <c r="F21" s="80">
        <f>Data_Entry!$E$26</f>
        <v/>
      </c>
      <c r="G21" s="77" t="inlineStr">
        <is>
          <t>%</t>
        </is>
      </c>
      <c r="H21" s="77" t="inlineStr">
        <is>
          <t>Payroll burden &amp; benefits</t>
        </is>
      </c>
    </row>
    <row r="22" ht="18" customHeight="1" s="10">
      <c r="A22" s="18" t="n"/>
      <c r="B22" s="73" t="inlineStr">
        <is>
          <t>Tax Rate</t>
        </is>
      </c>
      <c r="C22" s="80">
        <f>Data_Entry!$B$27</f>
        <v/>
      </c>
      <c r="D22" s="80">
        <f>Data_Entry!$C$27</f>
        <v/>
      </c>
      <c r="E22" s="80">
        <f>Data_Entry!$D$27</f>
        <v/>
      </c>
      <c r="F22" s="80">
        <f>Data_Entry!$E$27</f>
        <v/>
      </c>
      <c r="G22" s="77" t="inlineStr">
        <is>
          <t>%</t>
        </is>
      </c>
      <c r="H22" s="77" t="inlineStr">
        <is>
          <t>Effective corporate tax rate</t>
        </is>
      </c>
    </row>
    <row r="23" ht="18" customHeight="1" s="10">
      <c r="A23" s="18" t="n"/>
      <c r="B23" s="73" t="inlineStr">
        <is>
          <t>DSO</t>
        </is>
      </c>
      <c r="C23" s="81">
        <f>Data_Entry!$B$28</f>
        <v/>
      </c>
      <c r="D23" s="81">
        <f>Data_Entry!$C$28</f>
        <v/>
      </c>
      <c r="E23" s="81">
        <f>Data_Entry!$D$28</f>
        <v/>
      </c>
      <c r="F23" s="81">
        <f>Data_Entry!$E$28</f>
        <v/>
      </c>
      <c r="G23" s="77" t="inlineStr">
        <is>
          <t>days</t>
        </is>
      </c>
      <c r="H23" s="77" t="inlineStr">
        <is>
          <t>Average collection period</t>
        </is>
      </c>
    </row>
    <row r="24" ht="18" customHeight="1" s="10">
      <c r="A24" s="18" t="n"/>
      <c r="B24" s="73" t="inlineStr">
        <is>
          <t>DPO</t>
        </is>
      </c>
      <c r="C24" s="81">
        <f>Data_Entry!$B$29</f>
        <v/>
      </c>
      <c r="D24" s="81">
        <f>Data_Entry!$C$29</f>
        <v/>
      </c>
      <c r="E24" s="81">
        <f>Data_Entry!$D$29</f>
        <v/>
      </c>
      <c r="F24" s="81">
        <f>Data_Entry!$E$29</f>
        <v/>
      </c>
      <c r="G24" s="77" t="inlineStr">
        <is>
          <t>days</t>
        </is>
      </c>
      <c r="H24" s="77" t="inlineStr">
        <is>
          <t>Average payment period</t>
        </is>
      </c>
    </row>
    <row r="25" ht="18" customHeight="1" s="10">
      <c r="A25" s="18" t="n"/>
      <c r="B25" s="73" t="inlineStr">
        <is>
          <t>Interest Rate</t>
        </is>
      </c>
      <c r="C25" s="80">
        <f>Data_Entry!$B$30</f>
        <v/>
      </c>
      <c r="D25" s="80">
        <f>Data_Entry!$C$30</f>
        <v/>
      </c>
      <c r="E25" s="80">
        <f>Data_Entry!$D$30</f>
        <v/>
      </c>
      <c r="F25" s="80">
        <f>Data_Entry!$E$30</f>
        <v/>
      </c>
      <c r="G25" s="77" t="inlineStr">
        <is>
          <t>%</t>
        </is>
      </c>
      <c r="H25" s="77" t="inlineStr">
        <is>
          <t>Average annual debt cost</t>
        </is>
      </c>
    </row>
    <row r="26" ht="18" customHeight="1" s="10">
      <c r="A26" s="18" t="n"/>
      <c r="B26" s="73" t="inlineStr">
        <is>
          <t>Depreciation Life (months)</t>
        </is>
      </c>
      <c r="C26" s="81">
        <f>Data_Entry!$B$31</f>
        <v/>
      </c>
      <c r="D26" s="81">
        <f>Data_Entry!$C$31</f>
        <v/>
      </c>
      <c r="E26" s="81">
        <f>Data_Entry!$D$31</f>
        <v/>
      </c>
      <c r="F26" s="81">
        <f>Data_Entry!$E$31</f>
        <v/>
      </c>
      <c r="G26" s="77" t="inlineStr">
        <is>
          <t>months</t>
        </is>
      </c>
      <c r="H26" s="77" t="inlineStr">
        <is>
          <t>Straight-line useful life</t>
        </is>
      </c>
    </row>
    <row r="27" ht="18" customHeight="1" s="10">
      <c r="A27" s="18" t="n"/>
      <c r="B27" s="73" t="inlineStr">
        <is>
          <t>Capex % Revenue</t>
        </is>
      </c>
      <c r="C27" s="80">
        <f>Data_Entry!$B$32</f>
        <v/>
      </c>
      <c r="D27" s="80">
        <f>Data_Entry!$C$32</f>
        <v/>
      </c>
      <c r="E27" s="80">
        <f>Data_Entry!$D$32</f>
        <v/>
      </c>
      <c r="F27" s="80">
        <f>Data_Entry!$E$32</f>
        <v/>
      </c>
      <c r="G27" s="77" t="inlineStr">
        <is>
          <t>%</t>
        </is>
      </c>
      <c r="H27" s="77" t="inlineStr">
        <is>
          <t>Capital spend as % of revenue</t>
        </is>
      </c>
    </row>
    <row r="28" ht="18" customHeight="1" s="10">
      <c r="A28" s="18" t="n"/>
      <c r="B28" s="73" t="inlineStr">
        <is>
          <t>Sales Opening HC</t>
        </is>
      </c>
      <c r="C28" s="79">
        <f>Data_Entry!$B$33</f>
        <v/>
      </c>
      <c r="D28" s="79">
        <f>Data_Entry!$C$33</f>
        <v/>
      </c>
      <c r="E28" s="79">
        <f>Data_Entry!$D$33</f>
        <v/>
      </c>
      <c r="F28" s="79">
        <f>Data_Entry!$E$33</f>
        <v/>
      </c>
      <c r="G28" s="77" t="inlineStr">
        <is>
          <t>FTE</t>
        </is>
      </c>
      <c r="H28" s="77" t="inlineStr">
        <is>
          <t>Opening sales team headcount</t>
        </is>
      </c>
    </row>
    <row r="29" ht="18" customHeight="1" s="10">
      <c r="A29" s="18" t="n"/>
      <c r="B29" s="73" t="inlineStr">
        <is>
          <t>Marketing Opening HC</t>
        </is>
      </c>
      <c r="C29" s="79">
        <f>Data_Entry!$B$34</f>
        <v/>
      </c>
      <c r="D29" s="79">
        <f>Data_Entry!$C$34</f>
        <v/>
      </c>
      <c r="E29" s="79">
        <f>Data_Entry!$D$34</f>
        <v/>
      </c>
      <c r="F29" s="79">
        <f>Data_Entry!$E$34</f>
        <v/>
      </c>
      <c r="G29" s="77" t="inlineStr">
        <is>
          <t>FTE</t>
        </is>
      </c>
      <c r="H29" s="77" t="inlineStr">
        <is>
          <t>Opening marketing headcount</t>
        </is>
      </c>
    </row>
    <row r="30" ht="18" customHeight="1" s="10">
      <c r="A30" s="18" t="n"/>
      <c r="B30" s="73" t="inlineStr">
        <is>
          <t>R&amp;D Opening HC</t>
        </is>
      </c>
      <c r="C30" s="79">
        <f>Data_Entry!$B$35</f>
        <v/>
      </c>
      <c r="D30" s="79">
        <f>Data_Entry!$C$35</f>
        <v/>
      </c>
      <c r="E30" s="79">
        <f>Data_Entry!$D$35</f>
        <v/>
      </c>
      <c r="F30" s="79">
        <f>Data_Entry!$E$35</f>
        <v/>
      </c>
      <c r="G30" s="77" t="inlineStr">
        <is>
          <t>FTE</t>
        </is>
      </c>
      <c r="H30" s="77" t="inlineStr">
        <is>
          <t>Opening R&amp;D headcount</t>
        </is>
      </c>
    </row>
    <row r="31" ht="18" customHeight="1" s="10">
      <c r="A31" s="18" t="n"/>
      <c r="B31" s="73" t="inlineStr">
        <is>
          <t>G&amp;A Opening HC</t>
        </is>
      </c>
      <c r="C31" s="79">
        <f>Data_Entry!$B$36</f>
        <v/>
      </c>
      <c r="D31" s="79">
        <f>Data_Entry!$C$36</f>
        <v/>
      </c>
      <c r="E31" s="79">
        <f>Data_Entry!$D$36</f>
        <v/>
      </c>
      <c r="F31" s="79">
        <f>Data_Entry!$E$36</f>
        <v/>
      </c>
      <c r="G31" s="77" t="inlineStr">
        <is>
          <t>FTE</t>
        </is>
      </c>
      <c r="H31" s="77" t="inlineStr">
        <is>
          <t>Opening G&amp;A headcount</t>
        </is>
      </c>
    </row>
    <row r="32" ht="18" customHeight="1" s="10">
      <c r="A32" s="18" t="n"/>
      <c r="B32" s="73" t="inlineStr">
        <is>
          <t>Customer Success Opening HC</t>
        </is>
      </c>
      <c r="C32" s="79">
        <f>Data_Entry!$B$37</f>
        <v/>
      </c>
      <c r="D32" s="79">
        <f>Data_Entry!$C$37</f>
        <v/>
      </c>
      <c r="E32" s="79">
        <f>Data_Entry!$D$37</f>
        <v/>
      </c>
      <c r="F32" s="79">
        <f>Data_Entry!$E$37</f>
        <v/>
      </c>
      <c r="G32" s="77" t="inlineStr">
        <is>
          <t>FTE</t>
        </is>
      </c>
      <c r="H32" s="77" t="inlineStr">
        <is>
          <t>Opening CS headcount</t>
        </is>
      </c>
    </row>
    <row r="33" ht="18" customHeight="1" s="10">
      <c r="A33" s="18" t="n"/>
      <c r="B33" s="73" t="inlineStr">
        <is>
          <t>Sales Salary</t>
        </is>
      </c>
      <c r="C33" s="78">
        <f>Data_Entry!$B$38</f>
        <v/>
      </c>
      <c r="D33" s="78">
        <f>Data_Entry!$C$38</f>
        <v/>
      </c>
      <c r="E33" s="78">
        <f>Data_Entry!$D$38</f>
        <v/>
      </c>
      <c r="F33" s="78">
        <f>Data_Entry!$E$38</f>
        <v/>
      </c>
      <c r="G33" s="77" t="inlineStr">
        <is>
          <t>USD/yr</t>
        </is>
      </c>
      <c r="H33" s="77" t="inlineStr">
        <is>
          <t>Average annual fully loaded base salary</t>
        </is>
      </c>
    </row>
    <row r="34" ht="18" customHeight="1" s="10">
      <c r="A34" s="18" t="n"/>
      <c r="B34" s="73" t="inlineStr">
        <is>
          <t>Marketing Salary</t>
        </is>
      </c>
      <c r="C34" s="78">
        <f>Data_Entry!$B$39</f>
        <v/>
      </c>
      <c r="D34" s="78">
        <f>Data_Entry!$C$39</f>
        <v/>
      </c>
      <c r="E34" s="78">
        <f>Data_Entry!$D$39</f>
        <v/>
      </c>
      <c r="F34" s="78">
        <f>Data_Entry!$E$39</f>
        <v/>
      </c>
      <c r="G34" s="77" t="inlineStr">
        <is>
          <t>USD/yr</t>
        </is>
      </c>
      <c r="H34" s="77" t="inlineStr">
        <is>
          <t>Average annual fully loaded base salary</t>
        </is>
      </c>
    </row>
    <row r="35" ht="18" customHeight="1" s="10">
      <c r="A35" s="18" t="n"/>
      <c r="B35" s="73" t="inlineStr">
        <is>
          <t>R&amp;D Salary</t>
        </is>
      </c>
      <c r="C35" s="78">
        <f>Data_Entry!$B$40</f>
        <v/>
      </c>
      <c r="D35" s="78">
        <f>Data_Entry!$C$40</f>
        <v/>
      </c>
      <c r="E35" s="78">
        <f>Data_Entry!$D$40</f>
        <v/>
      </c>
      <c r="F35" s="78">
        <f>Data_Entry!$E$40</f>
        <v/>
      </c>
      <c r="G35" s="77" t="inlineStr">
        <is>
          <t>USD/yr</t>
        </is>
      </c>
      <c r="H35" s="77" t="inlineStr">
        <is>
          <t>Average annual fully loaded base salary</t>
        </is>
      </c>
    </row>
    <row r="36" ht="18" customHeight="1" s="10">
      <c r="A36" s="18" t="n"/>
      <c r="B36" s="73" t="inlineStr">
        <is>
          <t>G&amp;A Salary</t>
        </is>
      </c>
      <c r="C36" s="78">
        <f>Data_Entry!$B$41</f>
        <v/>
      </c>
      <c r="D36" s="78">
        <f>Data_Entry!$C$41</f>
        <v/>
      </c>
      <c r="E36" s="78">
        <f>Data_Entry!$D$41</f>
        <v/>
      </c>
      <c r="F36" s="78">
        <f>Data_Entry!$E$41</f>
        <v/>
      </c>
      <c r="G36" s="77" t="inlineStr">
        <is>
          <t>USD/yr</t>
        </is>
      </c>
      <c r="H36" s="77" t="inlineStr">
        <is>
          <t>Average annual fully loaded base salary</t>
        </is>
      </c>
    </row>
    <row r="37" ht="18" customHeight="1" s="10">
      <c r="A37" s="18" t="n"/>
      <c r="B37" s="73" t="inlineStr">
        <is>
          <t>Customer Success Salary</t>
        </is>
      </c>
      <c r="C37" s="78">
        <f>Data_Entry!$B$42</f>
        <v/>
      </c>
      <c r="D37" s="78">
        <f>Data_Entry!$C$42</f>
        <v/>
      </c>
      <c r="E37" s="78">
        <f>Data_Entry!$D$42</f>
        <v/>
      </c>
      <c r="F37" s="78">
        <f>Data_Entry!$E$42</f>
        <v/>
      </c>
      <c r="G37" s="77" t="inlineStr">
        <is>
          <t>USD/yr</t>
        </is>
      </c>
      <c r="H37" s="77" t="inlineStr">
        <is>
          <t>Average annual fully loaded base salary</t>
        </is>
      </c>
    </row>
    <row r="38" ht="18" customHeight="1" s="10">
      <c r="A38" s="18" t="n"/>
      <c r="B38" s="73" t="inlineStr">
        <is>
          <t>Marketing Programs % Revenue</t>
        </is>
      </c>
      <c r="C38" s="80">
        <f>Data_Entry!$B$43</f>
        <v/>
      </c>
      <c r="D38" s="80">
        <f>Data_Entry!$C$43</f>
        <v/>
      </c>
      <c r="E38" s="80">
        <f>Data_Entry!$D$43</f>
        <v/>
      </c>
      <c r="F38" s="80">
        <f>Data_Entry!$E$43</f>
        <v/>
      </c>
      <c r="G38" s="77" t="inlineStr">
        <is>
          <t>%</t>
        </is>
      </c>
      <c r="H38" s="77" t="inlineStr">
        <is>
          <t>Demand generation spend as % of revenue</t>
        </is>
      </c>
    </row>
    <row r="39" ht="18" customHeight="1" s="10">
      <c r="A39" s="18" t="n"/>
      <c r="B39" s="73" t="inlineStr">
        <is>
          <t>Software / month</t>
        </is>
      </c>
      <c r="C39" s="78">
        <f>Data_Entry!$B$44</f>
        <v/>
      </c>
      <c r="D39" s="78">
        <f>Data_Entry!$C$44</f>
        <v/>
      </c>
      <c r="E39" s="78">
        <f>Data_Entry!$D$44</f>
        <v/>
      </c>
      <c r="F39" s="78">
        <f>Data_Entry!$E$44</f>
        <v/>
      </c>
      <c r="G39" s="77" t="inlineStr">
        <is>
          <t>USD</t>
        </is>
      </c>
      <c r="H39" s="77" t="inlineStr">
        <is>
          <t>Core SaaS tools and subscriptions</t>
        </is>
      </c>
    </row>
    <row r="40" ht="18" customHeight="1" s="10">
      <c r="A40" s="18" t="n"/>
      <c r="B40" s="73" t="inlineStr">
        <is>
          <t>Rent / month</t>
        </is>
      </c>
      <c r="C40" s="78">
        <f>Data_Entry!$B$45</f>
        <v/>
      </c>
      <c r="D40" s="78">
        <f>Data_Entry!$C$45</f>
        <v/>
      </c>
      <c r="E40" s="78">
        <f>Data_Entry!$D$45</f>
        <v/>
      </c>
      <c r="F40" s="78">
        <f>Data_Entry!$E$45</f>
        <v/>
      </c>
      <c r="G40" s="77" t="inlineStr">
        <is>
          <t>USD</t>
        </is>
      </c>
      <c r="H40" s="77" t="inlineStr">
        <is>
          <t>Office / facilities</t>
        </is>
      </c>
    </row>
    <row r="41" ht="18" customHeight="1" s="10">
      <c r="A41" s="18" t="n"/>
      <c r="B41" s="73" t="inlineStr">
        <is>
          <t>Travel % Revenue</t>
        </is>
      </c>
      <c r="C41" s="80">
        <f>Data_Entry!$B$46</f>
        <v/>
      </c>
      <c r="D41" s="80">
        <f>Data_Entry!$C$46</f>
        <v/>
      </c>
      <c r="E41" s="80">
        <f>Data_Entry!$D$46</f>
        <v/>
      </c>
      <c r="F41" s="80">
        <f>Data_Entry!$E$46</f>
        <v/>
      </c>
      <c r="G41" s="77" t="inlineStr">
        <is>
          <t>%</t>
        </is>
      </c>
      <c r="H41" s="77" t="inlineStr">
        <is>
          <t>Travel and entertainment as % of revenue</t>
        </is>
      </c>
    </row>
    <row r="42" ht="18" customHeight="1" s="10">
      <c r="A42" s="18" t="n"/>
      <c r="B42" s="73" t="inlineStr">
        <is>
          <t>Other G&amp;A / month</t>
        </is>
      </c>
      <c r="C42" s="78">
        <f>Data_Entry!$B$47</f>
        <v/>
      </c>
      <c r="D42" s="78">
        <f>Data_Entry!$C$47</f>
        <v/>
      </c>
      <c r="E42" s="78">
        <f>Data_Entry!$D$47</f>
        <v/>
      </c>
      <c r="F42" s="78">
        <f>Data_Entry!$E$47</f>
        <v/>
      </c>
      <c r="G42" s="77" t="inlineStr">
        <is>
          <t>USD</t>
        </is>
      </c>
      <c r="H42" s="77" t="inlineStr">
        <is>
          <t>Insurance, audit, admin and misc.</t>
        </is>
      </c>
    </row>
    <row r="43" ht="18" customHeight="1" s="10"/>
    <row r="44" ht="18" customHeight="1" s="10"/>
    <row r="45" ht="18" customHeight="1" s="10"/>
    <row r="46" ht="18" customHeight="1" s="10"/>
    <row r="47" ht="18" customHeight="1" s="10"/>
    <row r="48" ht="18" customHeight="1" s="10"/>
    <row r="49" ht="18" customHeight="1" s="10"/>
    <row r="50" ht="18" customHeight="1" s="10"/>
    <row r="51" ht="18" customHeight="1" s="10"/>
    <row r="52" ht="18" customHeight="1" s="10"/>
    <row r="53" ht="18" customHeight="1" s="10"/>
    <row r="54" ht="18" customHeight="1" s="10"/>
    <row r="55" ht="18" customHeight="1" s="10"/>
    <row r="56" ht="18" customHeight="1" s="10"/>
    <row r="57" ht="18" customHeight="1" s="10"/>
    <row r="58" ht="18" customHeight="1" s="10"/>
    <row r="59" ht="18" customHeight="1" s="10"/>
    <row r="60" ht="18" customHeight="1" s="10"/>
    <row r="61" ht="18" customHeight="1" s="10"/>
    <row r="62" ht="18" customHeight="1" s="10"/>
    <row r="63" ht="18" customHeight="1" s="10"/>
    <row r="64" ht="18" customHeight="1" s="10"/>
    <row r="65" ht="18" customHeight="1" s="10"/>
    <row r="66" ht="18" customHeight="1" s="10"/>
    <row r="67" ht="18" customHeight="1" s="10"/>
    <row r="68" ht="18" customHeight="1" s="10"/>
    <row r="69" ht="18" customHeight="1" s="10"/>
    <row r="70" ht="18" customHeight="1" s="10"/>
    <row r="71" ht="18" customHeight="1" s="10"/>
    <row r="72" ht="18" customHeight="1" s="10"/>
    <row r="73" ht="18" customHeight="1" s="10"/>
    <row r="74" ht="18" customHeight="1" s="10"/>
    <row r="75" ht="18" customHeight="1" s="10"/>
    <row r="76" ht="18" customHeight="1" s="10"/>
    <row r="77" ht="18" customHeight="1" s="10"/>
    <row r="78" ht="18" customHeight="1" s="10"/>
    <row r="79" ht="18" customHeight="1" s="10"/>
  </sheetData>
  <mergeCells count="1">
    <mergeCell ref="B4:H4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9"/>
  <sheetViews>
    <sheetView showGridLines="0" zoomScaleNormal="100" workbookViewId="0">
      <selection activeCell="A1" sqref="A1"/>
    </sheetView>
  </sheetViews>
  <sheetFormatPr baseColWidth="8" defaultColWidth="8.7109375" defaultRowHeight="12.75"/>
  <cols>
    <col width="26" customWidth="1" style="10" min="1" max="1"/>
    <col width="12" customWidth="1" style="10" min="2" max="25"/>
  </cols>
  <sheetData>
    <row r="1" ht="24" customHeight="1" s="10">
      <c r="A1" s="16" t="inlineStr">
        <is>
          <t>Revenue Schedule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</row>
    <row r="2" ht="18" customHeight="1" s="10">
      <c r="A2" s="17" t="inlineStr">
        <is>
          <t>Customers -&gt; ARPU -&gt; revenue -&gt; COGS -&gt; gross profit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</row>
    <row r="3" ht="18" customHeight="1" s="10">
      <c r="A3" s="3" t="inlineStr">
        <is>
          <t>Monthly Revenue Model</t>
        </is>
      </c>
      <c r="B3" s="145" t="n"/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5" t="n"/>
      <c r="R3" s="145" t="n"/>
      <c r="S3" s="145" t="n"/>
      <c r="T3" s="145" t="n"/>
      <c r="U3" s="145" t="n"/>
      <c r="V3" s="145" t="n"/>
      <c r="W3" s="145" t="n"/>
      <c r="X3" s="145" t="n"/>
      <c r="Y3" s="145" t="n"/>
    </row>
    <row r="4" ht="18" customHeight="1" s="10">
      <c r="A4" s="82" t="n"/>
      <c r="B4" s="83">
        <f>Assumptions!$F$6</f>
        <v/>
      </c>
      <c r="C4" s="83">
        <f>DATE(YEAR(B4),MONTH(B4)+1,1)</f>
        <v/>
      </c>
      <c r="D4" s="83">
        <f>DATE(YEAR(C4),MONTH(C4)+1,1)</f>
        <v/>
      </c>
      <c r="E4" s="83">
        <f>DATE(YEAR(D4),MONTH(D4)+1,1)</f>
        <v/>
      </c>
      <c r="F4" s="83">
        <f>DATE(YEAR(E4),MONTH(E4)+1,1)</f>
        <v/>
      </c>
      <c r="G4" s="83">
        <f>DATE(YEAR(F4),MONTH(F4)+1,1)</f>
        <v/>
      </c>
      <c r="H4" s="83">
        <f>DATE(YEAR(G4),MONTH(G4)+1,1)</f>
        <v/>
      </c>
      <c r="I4" s="83">
        <f>DATE(YEAR(H4),MONTH(H4)+1,1)</f>
        <v/>
      </c>
      <c r="J4" s="83">
        <f>DATE(YEAR(I4),MONTH(I4)+1,1)</f>
        <v/>
      </c>
      <c r="K4" s="83">
        <f>DATE(YEAR(J4),MONTH(J4)+1,1)</f>
        <v/>
      </c>
      <c r="L4" s="83">
        <f>DATE(YEAR(K4),MONTH(K4)+1,1)</f>
        <v/>
      </c>
      <c r="M4" s="83">
        <f>DATE(YEAR(L4),MONTH(L4)+1,1)</f>
        <v/>
      </c>
      <c r="N4" s="83">
        <f>DATE(YEAR(M4),MONTH(M4)+1,1)</f>
        <v/>
      </c>
      <c r="O4" s="83">
        <f>DATE(YEAR(N4),MONTH(N4)+1,1)</f>
        <v/>
      </c>
      <c r="P4" s="83">
        <f>DATE(YEAR(O4),MONTH(O4)+1,1)</f>
        <v/>
      </c>
      <c r="Q4" s="83">
        <f>DATE(YEAR(P4),MONTH(P4)+1,1)</f>
        <v/>
      </c>
      <c r="R4" s="83">
        <f>DATE(YEAR(Q4),MONTH(Q4)+1,1)</f>
        <v/>
      </c>
      <c r="S4" s="83">
        <f>DATE(YEAR(R4),MONTH(R4)+1,1)</f>
        <v/>
      </c>
      <c r="T4" s="83">
        <f>DATE(YEAR(S4),MONTH(S4)+1,1)</f>
        <v/>
      </c>
      <c r="U4" s="83">
        <f>DATE(YEAR(T4),MONTH(T4)+1,1)</f>
        <v/>
      </c>
      <c r="V4" s="83">
        <f>DATE(YEAR(U4),MONTH(U4)+1,1)</f>
        <v/>
      </c>
      <c r="W4" s="83">
        <f>DATE(YEAR(V4),MONTH(V4)+1,1)</f>
        <v/>
      </c>
      <c r="X4" s="83">
        <f>DATE(YEAR(W4),MONTH(W4)+1,1)</f>
        <v/>
      </c>
      <c r="Y4" s="83">
        <f>DATE(YEAR(X4),MONTH(X4)+1,1)</f>
        <v/>
      </c>
    </row>
    <row r="5" ht="18" customHeight="1" s="10">
      <c r="A5" s="18" t="n"/>
    </row>
    <row r="6" ht="18" customHeight="1" s="10">
      <c r="A6" s="84" t="inlineStr">
        <is>
          <t>Beginning Customers</t>
        </is>
      </c>
      <c r="B6" s="40">
        <f>Assumptions!$F$14</f>
        <v/>
      </c>
      <c r="C6" s="40">
        <f>B10</f>
        <v/>
      </c>
      <c r="D6" s="40">
        <f>C10</f>
        <v/>
      </c>
      <c r="E6" s="40">
        <f>D10</f>
        <v/>
      </c>
      <c r="F6" s="40">
        <f>E10</f>
        <v/>
      </c>
      <c r="G6" s="40">
        <f>F10</f>
        <v/>
      </c>
      <c r="H6" s="40">
        <f>G10</f>
        <v/>
      </c>
      <c r="I6" s="40">
        <f>H10</f>
        <v/>
      </c>
      <c r="J6" s="40">
        <f>I10</f>
        <v/>
      </c>
      <c r="K6" s="40">
        <f>J10</f>
        <v/>
      </c>
      <c r="L6" s="40">
        <f>K10</f>
        <v/>
      </c>
      <c r="M6" s="40">
        <f>L10</f>
        <v/>
      </c>
      <c r="N6" s="40">
        <f>M10</f>
        <v/>
      </c>
      <c r="O6" s="40">
        <f>N10</f>
        <v/>
      </c>
      <c r="P6" s="40">
        <f>O10</f>
        <v/>
      </c>
      <c r="Q6" s="40">
        <f>P10</f>
        <v/>
      </c>
      <c r="R6" s="40">
        <f>Q10</f>
        <v/>
      </c>
      <c r="S6" s="40">
        <f>R10</f>
        <v/>
      </c>
      <c r="T6" s="40">
        <f>S10</f>
        <v/>
      </c>
      <c r="U6" s="40">
        <f>T10</f>
        <v/>
      </c>
      <c r="V6" s="40">
        <f>U10</f>
        <v/>
      </c>
      <c r="W6" s="40">
        <f>V10</f>
        <v/>
      </c>
      <c r="X6" s="40">
        <f>W10</f>
        <v/>
      </c>
      <c r="Y6" s="40">
        <f>X10</f>
        <v/>
      </c>
    </row>
    <row r="7" ht="18" customHeight="1" s="10">
      <c r="A7" s="84" t="inlineStr">
        <is>
          <t>New Customers</t>
        </is>
      </c>
      <c r="B7" s="40">
        <f>IF(ISNUMBER(Data_Entry!B52),Data_Entry!B52,Assumptions!$F$15)</f>
        <v/>
      </c>
      <c r="C7" s="40">
        <f>IF(ISNUMBER(Data_Entry!C52),Data_Entry!C52,Assumptions!$F$15)</f>
        <v/>
      </c>
      <c r="D7" s="40">
        <f>IF(ISNUMBER(Data_Entry!D52),Data_Entry!D52,Assumptions!$F$15)</f>
        <v/>
      </c>
      <c r="E7" s="40">
        <f>IF(ISNUMBER(Data_Entry!E52),Data_Entry!E52,Assumptions!$F$15)</f>
        <v/>
      </c>
      <c r="F7" s="40">
        <f>IF(ISNUMBER(Data_Entry!F52),Data_Entry!F52,Assumptions!$F$15)</f>
        <v/>
      </c>
      <c r="G7" s="40">
        <f>IF(ISNUMBER(Data_Entry!G52),Data_Entry!G52,Assumptions!$F$15)</f>
        <v/>
      </c>
      <c r="H7" s="40">
        <f>IF(ISNUMBER(Data_Entry!H52),Data_Entry!H52,Assumptions!$F$15)</f>
        <v/>
      </c>
      <c r="I7" s="40">
        <f>IF(ISNUMBER(Data_Entry!I52),Data_Entry!I52,Assumptions!$F$15)</f>
        <v/>
      </c>
      <c r="J7" s="40">
        <f>IF(ISNUMBER(Data_Entry!J52),Data_Entry!J52,Assumptions!$F$15)</f>
        <v/>
      </c>
      <c r="K7" s="40">
        <f>IF(ISNUMBER(Data_Entry!K52),Data_Entry!K52,Assumptions!$F$15)</f>
        <v/>
      </c>
      <c r="L7" s="40">
        <f>IF(ISNUMBER(Data_Entry!L52),Data_Entry!L52,Assumptions!$F$15)</f>
        <v/>
      </c>
      <c r="M7" s="40">
        <f>IF(ISNUMBER(Data_Entry!M52),Data_Entry!M52,Assumptions!$F$15)</f>
        <v/>
      </c>
      <c r="N7" s="40">
        <f>IF(ISNUMBER(Data_Entry!N52),Data_Entry!N52,Assumptions!$F$15)</f>
        <v/>
      </c>
      <c r="O7" s="40">
        <f>IF(ISNUMBER(Data_Entry!O52),Data_Entry!O52,Assumptions!$F$15)</f>
        <v/>
      </c>
      <c r="P7" s="40">
        <f>IF(ISNUMBER(Data_Entry!P52),Data_Entry!P52,Assumptions!$F$15)</f>
        <v/>
      </c>
      <c r="Q7" s="40">
        <f>IF(ISNUMBER(Data_Entry!Q52),Data_Entry!Q52,Assumptions!$F$15)</f>
        <v/>
      </c>
      <c r="R7" s="40">
        <f>IF(ISNUMBER(Data_Entry!R52),Data_Entry!R52,Assumptions!$F$15)</f>
        <v/>
      </c>
      <c r="S7" s="40">
        <f>IF(ISNUMBER(Data_Entry!S52),Data_Entry!S52,Assumptions!$F$15)</f>
        <v/>
      </c>
      <c r="T7" s="40">
        <f>IF(ISNUMBER(Data_Entry!T52),Data_Entry!T52,Assumptions!$F$15)</f>
        <v/>
      </c>
      <c r="U7" s="40">
        <f>IF(ISNUMBER(Data_Entry!U52),Data_Entry!U52,Assumptions!$F$15)</f>
        <v/>
      </c>
      <c r="V7" s="40">
        <f>IF(ISNUMBER(Data_Entry!V52),Data_Entry!V52,Assumptions!$F$15)</f>
        <v/>
      </c>
      <c r="W7" s="40">
        <f>IF(ISNUMBER(Data_Entry!W52),Data_Entry!W52,Assumptions!$F$15)</f>
        <v/>
      </c>
      <c r="X7" s="40">
        <f>IF(ISNUMBER(Data_Entry!X52),Data_Entry!X52,Assumptions!$F$15)</f>
        <v/>
      </c>
      <c r="Y7" s="40">
        <f>IF(ISNUMBER(Data_Entry!Y52),Data_Entry!Y52,Assumptions!$F$15)</f>
        <v/>
      </c>
    </row>
    <row r="8" ht="18" customHeight="1" s="10">
      <c r="A8" s="84" t="inlineStr">
        <is>
          <t>Churn %</t>
        </is>
      </c>
      <c r="B8" s="42">
        <f>Assumptions!$F$16</f>
        <v/>
      </c>
      <c r="C8" s="42">
        <f>Assumptions!$F$16</f>
        <v/>
      </c>
      <c r="D8" s="42">
        <f>Assumptions!$F$16</f>
        <v/>
      </c>
      <c r="E8" s="42">
        <f>Assumptions!$F$16</f>
        <v/>
      </c>
      <c r="F8" s="42">
        <f>Assumptions!$F$16</f>
        <v/>
      </c>
      <c r="G8" s="42">
        <f>Assumptions!$F$16</f>
        <v/>
      </c>
      <c r="H8" s="42">
        <f>Assumptions!$F$16</f>
        <v/>
      </c>
      <c r="I8" s="42">
        <f>Assumptions!$F$16</f>
        <v/>
      </c>
      <c r="J8" s="42">
        <f>Assumptions!$F$16</f>
        <v/>
      </c>
      <c r="K8" s="42">
        <f>Assumptions!$F$16</f>
        <v/>
      </c>
      <c r="L8" s="42">
        <f>Assumptions!$F$16</f>
        <v/>
      </c>
      <c r="M8" s="42">
        <f>Assumptions!$F$16</f>
        <v/>
      </c>
      <c r="N8" s="42">
        <f>Assumptions!$F$16</f>
        <v/>
      </c>
      <c r="O8" s="42">
        <f>Assumptions!$F$16</f>
        <v/>
      </c>
      <c r="P8" s="42">
        <f>Assumptions!$F$16</f>
        <v/>
      </c>
      <c r="Q8" s="42">
        <f>Assumptions!$F$16</f>
        <v/>
      </c>
      <c r="R8" s="42">
        <f>Assumptions!$F$16</f>
        <v/>
      </c>
      <c r="S8" s="42">
        <f>Assumptions!$F$16</f>
        <v/>
      </c>
      <c r="T8" s="42">
        <f>Assumptions!$F$16</f>
        <v/>
      </c>
      <c r="U8" s="42">
        <f>Assumptions!$F$16</f>
        <v/>
      </c>
      <c r="V8" s="42">
        <f>Assumptions!$F$16</f>
        <v/>
      </c>
      <c r="W8" s="42">
        <f>Assumptions!$F$16</f>
        <v/>
      </c>
      <c r="X8" s="42">
        <f>Assumptions!$F$16</f>
        <v/>
      </c>
      <c r="Y8" s="42">
        <f>Assumptions!$F$16</f>
        <v/>
      </c>
    </row>
    <row r="9" ht="18" customHeight="1" s="10">
      <c r="A9" s="84" t="inlineStr">
        <is>
          <t>Churned Customers</t>
        </is>
      </c>
      <c r="B9" s="40">
        <f>B6*B8</f>
        <v/>
      </c>
      <c r="C9" s="40">
        <f>C6*C8</f>
        <v/>
      </c>
      <c r="D9" s="40">
        <f>D6*D8</f>
        <v/>
      </c>
      <c r="E9" s="40">
        <f>E6*E8</f>
        <v/>
      </c>
      <c r="F9" s="40">
        <f>F6*F8</f>
        <v/>
      </c>
      <c r="G9" s="40">
        <f>G6*G8</f>
        <v/>
      </c>
      <c r="H9" s="40">
        <f>H6*H8</f>
        <v/>
      </c>
      <c r="I9" s="40">
        <f>I6*I8</f>
        <v/>
      </c>
      <c r="J9" s="40">
        <f>J6*J8</f>
        <v/>
      </c>
      <c r="K9" s="40">
        <f>K6*K8</f>
        <v/>
      </c>
      <c r="L9" s="40">
        <f>L6*L8</f>
        <v/>
      </c>
      <c r="M9" s="40">
        <f>M6*M8</f>
        <v/>
      </c>
      <c r="N9" s="40">
        <f>N6*N8</f>
        <v/>
      </c>
      <c r="O9" s="40">
        <f>O6*O8</f>
        <v/>
      </c>
      <c r="P9" s="40">
        <f>P6*P8</f>
        <v/>
      </c>
      <c r="Q9" s="40">
        <f>Q6*Q8</f>
        <v/>
      </c>
      <c r="R9" s="40">
        <f>R6*R8</f>
        <v/>
      </c>
      <c r="S9" s="40">
        <f>S6*S8</f>
        <v/>
      </c>
      <c r="T9" s="40">
        <f>T6*T8</f>
        <v/>
      </c>
      <c r="U9" s="40">
        <f>U6*U8</f>
        <v/>
      </c>
      <c r="V9" s="40">
        <f>V6*V8</f>
        <v/>
      </c>
      <c r="W9" s="40">
        <f>W6*W8</f>
        <v/>
      </c>
      <c r="X9" s="40">
        <f>X6*X8</f>
        <v/>
      </c>
      <c r="Y9" s="40">
        <f>Y6*Y8</f>
        <v/>
      </c>
    </row>
    <row r="10" ht="18" customHeight="1" s="10">
      <c r="A10" s="84" t="inlineStr">
        <is>
          <t>Ending Customers</t>
        </is>
      </c>
      <c r="B10" s="40">
        <f>B6+B7-B9</f>
        <v/>
      </c>
      <c r="C10" s="40">
        <f>C6+C7-C9</f>
        <v/>
      </c>
      <c r="D10" s="40">
        <f>D6+D7-D9</f>
        <v/>
      </c>
      <c r="E10" s="40">
        <f>E6+E7-E9</f>
        <v/>
      </c>
      <c r="F10" s="40">
        <f>F6+F7-F9</f>
        <v/>
      </c>
      <c r="G10" s="40">
        <f>G6+G7-G9</f>
        <v/>
      </c>
      <c r="H10" s="40">
        <f>H6+H7-H9</f>
        <v/>
      </c>
      <c r="I10" s="40">
        <f>I6+I7-I9</f>
        <v/>
      </c>
      <c r="J10" s="40">
        <f>J6+J7-J9</f>
        <v/>
      </c>
      <c r="K10" s="40">
        <f>K6+K7-K9</f>
        <v/>
      </c>
      <c r="L10" s="40">
        <f>L6+L7-L9</f>
        <v/>
      </c>
      <c r="M10" s="40">
        <f>M6+M7-M9</f>
        <v/>
      </c>
      <c r="N10" s="40">
        <f>N6+N7-N9</f>
        <v/>
      </c>
      <c r="O10" s="40">
        <f>O6+O7-O9</f>
        <v/>
      </c>
      <c r="P10" s="40">
        <f>P6+P7-P9</f>
        <v/>
      </c>
      <c r="Q10" s="40">
        <f>Q6+Q7-Q9</f>
        <v/>
      </c>
      <c r="R10" s="40">
        <f>R6+R7-R9</f>
        <v/>
      </c>
      <c r="S10" s="40">
        <f>S6+S7-S9</f>
        <v/>
      </c>
      <c r="T10" s="40">
        <f>T6+T7-T9</f>
        <v/>
      </c>
      <c r="U10" s="40">
        <f>U6+U7-U9</f>
        <v/>
      </c>
      <c r="V10" s="40">
        <f>V6+V7-V9</f>
        <v/>
      </c>
      <c r="W10" s="40">
        <f>W6+W7-W9</f>
        <v/>
      </c>
      <c r="X10" s="40">
        <f>X6+X7-X9</f>
        <v/>
      </c>
      <c r="Y10" s="40">
        <f>Y6+Y7-Y9</f>
        <v/>
      </c>
    </row>
    <row r="11" ht="18" customHeight="1" s="10">
      <c r="A11" s="84" t="inlineStr">
        <is>
          <t>ARPU</t>
        </is>
      </c>
      <c r="B11" s="38">
        <f>Assumptions!$F$17</f>
        <v/>
      </c>
      <c r="C11" s="38">
        <f>B11*(1+Assumptions!$F$18/12)</f>
        <v/>
      </c>
      <c r="D11" s="38">
        <f>C11*(1+Assumptions!$F$18/12)</f>
        <v/>
      </c>
      <c r="E11" s="38">
        <f>D11*(1+Assumptions!$F$18/12)</f>
        <v/>
      </c>
      <c r="F11" s="38">
        <f>E11*(1+Assumptions!$F$18/12)</f>
        <v/>
      </c>
      <c r="G11" s="38">
        <f>F11*(1+Assumptions!$F$18/12)</f>
        <v/>
      </c>
      <c r="H11" s="38">
        <f>G11*(1+Assumptions!$F$18/12)</f>
        <v/>
      </c>
      <c r="I11" s="38">
        <f>H11*(1+Assumptions!$F$18/12)</f>
        <v/>
      </c>
      <c r="J11" s="38">
        <f>I11*(1+Assumptions!$F$18/12)</f>
        <v/>
      </c>
      <c r="K11" s="38">
        <f>J11*(1+Assumptions!$F$18/12)</f>
        <v/>
      </c>
      <c r="L11" s="38">
        <f>K11*(1+Assumptions!$F$18/12)</f>
        <v/>
      </c>
      <c r="M11" s="38">
        <f>L11*(1+Assumptions!$F$18/12)</f>
        <v/>
      </c>
      <c r="N11" s="38">
        <f>M11*(1+Assumptions!$F$18/12)</f>
        <v/>
      </c>
      <c r="O11" s="38">
        <f>N11*(1+Assumptions!$F$18/12)</f>
        <v/>
      </c>
      <c r="P11" s="38">
        <f>O11*(1+Assumptions!$F$18/12)</f>
        <v/>
      </c>
      <c r="Q11" s="38">
        <f>P11*(1+Assumptions!$F$18/12)</f>
        <v/>
      </c>
      <c r="R11" s="38">
        <f>Q11*(1+Assumptions!$F$18/12)</f>
        <v/>
      </c>
      <c r="S11" s="38">
        <f>R11*(1+Assumptions!$F$18/12)</f>
        <v/>
      </c>
      <c r="T11" s="38">
        <f>S11*(1+Assumptions!$F$18/12)</f>
        <v/>
      </c>
      <c r="U11" s="38">
        <f>T11*(1+Assumptions!$F$18/12)</f>
        <v/>
      </c>
      <c r="V11" s="38">
        <f>U11*(1+Assumptions!$F$18/12)</f>
        <v/>
      </c>
      <c r="W11" s="38">
        <f>V11*(1+Assumptions!$F$18/12)</f>
        <v/>
      </c>
      <c r="X11" s="38">
        <f>W11*(1+Assumptions!$F$18/12)</f>
        <v/>
      </c>
      <c r="Y11" s="38">
        <f>X11*(1+Assumptions!$F$18/12)</f>
        <v/>
      </c>
    </row>
    <row r="12" ht="18" customHeight="1" s="10">
      <c r="A12" s="84" t="inlineStr">
        <is>
          <t>Subscription Revenue</t>
        </is>
      </c>
      <c r="B12" s="38">
        <f>((B6+B10)/2)*B11</f>
        <v/>
      </c>
      <c r="C12" s="38">
        <f>((C6+C10)/2)*C11</f>
        <v/>
      </c>
      <c r="D12" s="38">
        <f>((D6+D10)/2)*D11</f>
        <v/>
      </c>
      <c r="E12" s="38">
        <f>((E6+E10)/2)*E11</f>
        <v/>
      </c>
      <c r="F12" s="38">
        <f>((F6+F10)/2)*F11</f>
        <v/>
      </c>
      <c r="G12" s="38">
        <f>((G6+G10)/2)*G11</f>
        <v/>
      </c>
      <c r="H12" s="38">
        <f>((H6+H10)/2)*H11</f>
        <v/>
      </c>
      <c r="I12" s="38">
        <f>((I6+I10)/2)*I11</f>
        <v/>
      </c>
      <c r="J12" s="38">
        <f>((J6+J10)/2)*J11</f>
        <v/>
      </c>
      <c r="K12" s="38">
        <f>((K6+K10)/2)*K11</f>
        <v/>
      </c>
      <c r="L12" s="38">
        <f>((L6+L10)/2)*L11</f>
        <v/>
      </c>
      <c r="M12" s="38">
        <f>((M6+M10)/2)*M11</f>
        <v/>
      </c>
      <c r="N12" s="38">
        <f>((N6+N10)/2)*N11</f>
        <v/>
      </c>
      <c r="O12" s="38">
        <f>((O6+O10)/2)*O11</f>
        <v/>
      </c>
      <c r="P12" s="38">
        <f>((P6+P10)/2)*P11</f>
        <v/>
      </c>
      <c r="Q12" s="38">
        <f>((Q6+Q10)/2)*Q11</f>
        <v/>
      </c>
      <c r="R12" s="38">
        <f>((R6+R10)/2)*R11</f>
        <v/>
      </c>
      <c r="S12" s="38">
        <f>((S6+S10)/2)*S11</f>
        <v/>
      </c>
      <c r="T12" s="38">
        <f>((T6+T10)/2)*T11</f>
        <v/>
      </c>
      <c r="U12" s="38">
        <f>((U6+U10)/2)*U11</f>
        <v/>
      </c>
      <c r="V12" s="38">
        <f>((V6+V10)/2)*V11</f>
        <v/>
      </c>
      <c r="W12" s="38">
        <f>((W6+W10)/2)*W11</f>
        <v/>
      </c>
      <c r="X12" s="38">
        <f>((X6+X10)/2)*X11</f>
        <v/>
      </c>
      <c r="Y12" s="38">
        <f>((Y6+Y10)/2)*Y11</f>
        <v/>
      </c>
    </row>
    <row r="13" ht="18" customHeight="1" s="10">
      <c r="A13" s="84" t="inlineStr">
        <is>
          <t>Implementation Fee / New Cust</t>
        </is>
      </c>
      <c r="B13" s="38">
        <f>Assumptions!$F$19</f>
        <v/>
      </c>
      <c r="C13" s="38">
        <f>Assumptions!$F$19</f>
        <v/>
      </c>
      <c r="D13" s="38">
        <f>Assumptions!$F$19</f>
        <v/>
      </c>
      <c r="E13" s="38">
        <f>Assumptions!$F$19</f>
        <v/>
      </c>
      <c r="F13" s="38">
        <f>Assumptions!$F$19</f>
        <v/>
      </c>
      <c r="G13" s="38">
        <f>Assumptions!$F$19</f>
        <v/>
      </c>
      <c r="H13" s="38">
        <f>Assumptions!$F$19</f>
        <v/>
      </c>
      <c r="I13" s="38">
        <f>Assumptions!$F$19</f>
        <v/>
      </c>
      <c r="J13" s="38">
        <f>Assumptions!$F$19</f>
        <v/>
      </c>
      <c r="K13" s="38">
        <f>Assumptions!$F$19</f>
        <v/>
      </c>
      <c r="L13" s="38">
        <f>Assumptions!$F$19</f>
        <v/>
      </c>
      <c r="M13" s="38">
        <f>Assumptions!$F$19</f>
        <v/>
      </c>
      <c r="N13" s="38">
        <f>Assumptions!$F$19</f>
        <v/>
      </c>
      <c r="O13" s="38">
        <f>Assumptions!$F$19</f>
        <v/>
      </c>
      <c r="P13" s="38">
        <f>Assumptions!$F$19</f>
        <v/>
      </c>
      <c r="Q13" s="38">
        <f>Assumptions!$F$19</f>
        <v/>
      </c>
      <c r="R13" s="38">
        <f>Assumptions!$F$19</f>
        <v/>
      </c>
      <c r="S13" s="38">
        <f>Assumptions!$F$19</f>
        <v/>
      </c>
      <c r="T13" s="38">
        <f>Assumptions!$F$19</f>
        <v/>
      </c>
      <c r="U13" s="38">
        <f>Assumptions!$F$19</f>
        <v/>
      </c>
      <c r="V13" s="38">
        <f>Assumptions!$F$19</f>
        <v/>
      </c>
      <c r="W13" s="38">
        <f>Assumptions!$F$19</f>
        <v/>
      </c>
      <c r="X13" s="38">
        <f>Assumptions!$F$19</f>
        <v/>
      </c>
      <c r="Y13" s="38">
        <f>Assumptions!$F$19</f>
        <v/>
      </c>
    </row>
    <row r="14" ht="18" customHeight="1" s="10">
      <c r="A14" s="84" t="inlineStr">
        <is>
          <t>Implementation Revenue</t>
        </is>
      </c>
      <c r="B14" s="38">
        <f>B7*B13</f>
        <v/>
      </c>
      <c r="C14" s="38">
        <f>C7*C13</f>
        <v/>
      </c>
      <c r="D14" s="38">
        <f>D7*D13</f>
        <v/>
      </c>
      <c r="E14" s="38">
        <f>E7*E13</f>
        <v/>
      </c>
      <c r="F14" s="38">
        <f>F7*F13</f>
        <v/>
      </c>
      <c r="G14" s="38">
        <f>G7*G13</f>
        <v/>
      </c>
      <c r="H14" s="38">
        <f>H7*H13</f>
        <v/>
      </c>
      <c r="I14" s="38">
        <f>I7*I13</f>
        <v/>
      </c>
      <c r="J14" s="38">
        <f>J7*J13</f>
        <v/>
      </c>
      <c r="K14" s="38">
        <f>K7*K13</f>
        <v/>
      </c>
      <c r="L14" s="38">
        <f>L7*L13</f>
        <v/>
      </c>
      <c r="M14" s="38">
        <f>M7*M13</f>
        <v/>
      </c>
      <c r="N14" s="38">
        <f>N7*N13</f>
        <v/>
      </c>
      <c r="O14" s="38">
        <f>O7*O13</f>
        <v/>
      </c>
      <c r="P14" s="38">
        <f>P7*P13</f>
        <v/>
      </c>
      <c r="Q14" s="38">
        <f>Q7*Q13</f>
        <v/>
      </c>
      <c r="R14" s="38">
        <f>R7*R13</f>
        <v/>
      </c>
      <c r="S14" s="38">
        <f>S7*S13</f>
        <v/>
      </c>
      <c r="T14" s="38">
        <f>T7*T13</f>
        <v/>
      </c>
      <c r="U14" s="38">
        <f>U7*U13</f>
        <v/>
      </c>
      <c r="V14" s="38">
        <f>V7*V13</f>
        <v/>
      </c>
      <c r="W14" s="38">
        <f>W7*W13</f>
        <v/>
      </c>
      <c r="X14" s="38">
        <f>X7*X13</f>
        <v/>
      </c>
      <c r="Y14" s="38">
        <f>Y7*Y13</f>
        <v/>
      </c>
    </row>
    <row r="15" ht="18" customHeight="1" s="10">
      <c r="A15" s="85" t="inlineStr">
        <is>
          <t>Total Revenue</t>
        </is>
      </c>
      <c r="B15" s="86">
        <f>SUM(B12:B14)</f>
        <v/>
      </c>
      <c r="C15" s="86">
        <f>SUM(C12:C14)</f>
        <v/>
      </c>
      <c r="D15" s="86">
        <f>SUM(D12:D14)</f>
        <v/>
      </c>
      <c r="E15" s="86">
        <f>SUM(E12:E14)</f>
        <v/>
      </c>
      <c r="F15" s="86">
        <f>SUM(F12:F14)</f>
        <v/>
      </c>
      <c r="G15" s="86">
        <f>SUM(G12:G14)</f>
        <v/>
      </c>
      <c r="H15" s="86">
        <f>SUM(H12:H14)</f>
        <v/>
      </c>
      <c r="I15" s="86">
        <f>SUM(I12:I14)</f>
        <v/>
      </c>
      <c r="J15" s="86">
        <f>SUM(J12:J14)</f>
        <v/>
      </c>
      <c r="K15" s="86">
        <f>SUM(K12:K14)</f>
        <v/>
      </c>
      <c r="L15" s="86">
        <f>SUM(L12:L14)</f>
        <v/>
      </c>
      <c r="M15" s="86">
        <f>SUM(M12:M14)</f>
        <v/>
      </c>
      <c r="N15" s="86">
        <f>SUM(N12:N14)</f>
        <v/>
      </c>
      <c r="O15" s="86">
        <f>SUM(O12:O14)</f>
        <v/>
      </c>
      <c r="P15" s="86">
        <f>SUM(P12:P14)</f>
        <v/>
      </c>
      <c r="Q15" s="86">
        <f>SUM(Q12:Q14)</f>
        <v/>
      </c>
      <c r="R15" s="86">
        <f>SUM(R12:R14)</f>
        <v/>
      </c>
      <c r="S15" s="86">
        <f>SUM(S12:S14)</f>
        <v/>
      </c>
      <c r="T15" s="86">
        <f>SUM(T12:T14)</f>
        <v/>
      </c>
      <c r="U15" s="86">
        <f>SUM(U12:U14)</f>
        <v/>
      </c>
      <c r="V15" s="86">
        <f>SUM(V12:V14)</f>
        <v/>
      </c>
      <c r="W15" s="86">
        <f>SUM(W12:W14)</f>
        <v/>
      </c>
      <c r="X15" s="86">
        <f>SUM(X12:X14)</f>
        <v/>
      </c>
      <c r="Y15" s="86">
        <f>SUM(Y12:Y14)</f>
        <v/>
      </c>
    </row>
    <row r="16" ht="18" customHeight="1" s="10">
      <c r="A16" s="18" t="n"/>
    </row>
    <row r="17" ht="18" customHeight="1" s="10">
      <c r="A17" s="84" t="inlineStr">
        <is>
          <t>COGS %</t>
        </is>
      </c>
      <c r="B17" s="42">
        <f>Assumptions!$F$20</f>
        <v/>
      </c>
      <c r="C17" s="42">
        <f>Assumptions!$F$20</f>
        <v/>
      </c>
      <c r="D17" s="42">
        <f>Assumptions!$F$20</f>
        <v/>
      </c>
      <c r="E17" s="42">
        <f>Assumptions!$F$20</f>
        <v/>
      </c>
      <c r="F17" s="42">
        <f>Assumptions!$F$20</f>
        <v/>
      </c>
      <c r="G17" s="42">
        <f>Assumptions!$F$20</f>
        <v/>
      </c>
      <c r="H17" s="42">
        <f>Assumptions!$F$20</f>
        <v/>
      </c>
      <c r="I17" s="42">
        <f>Assumptions!$F$20</f>
        <v/>
      </c>
      <c r="J17" s="42">
        <f>Assumptions!$F$20</f>
        <v/>
      </c>
      <c r="K17" s="42">
        <f>Assumptions!$F$20</f>
        <v/>
      </c>
      <c r="L17" s="42">
        <f>Assumptions!$F$20</f>
        <v/>
      </c>
      <c r="M17" s="42">
        <f>Assumptions!$F$20</f>
        <v/>
      </c>
      <c r="N17" s="42">
        <f>Assumptions!$F$20</f>
        <v/>
      </c>
      <c r="O17" s="42">
        <f>Assumptions!$F$20</f>
        <v/>
      </c>
      <c r="P17" s="42">
        <f>Assumptions!$F$20</f>
        <v/>
      </c>
      <c r="Q17" s="42">
        <f>Assumptions!$F$20</f>
        <v/>
      </c>
      <c r="R17" s="42">
        <f>Assumptions!$F$20</f>
        <v/>
      </c>
      <c r="S17" s="42">
        <f>Assumptions!$F$20</f>
        <v/>
      </c>
      <c r="T17" s="42">
        <f>Assumptions!$F$20</f>
        <v/>
      </c>
      <c r="U17" s="42">
        <f>Assumptions!$F$20</f>
        <v/>
      </c>
      <c r="V17" s="42">
        <f>Assumptions!$F$20</f>
        <v/>
      </c>
      <c r="W17" s="42">
        <f>Assumptions!$F$20</f>
        <v/>
      </c>
      <c r="X17" s="42">
        <f>Assumptions!$F$20</f>
        <v/>
      </c>
      <c r="Y17" s="42">
        <f>Assumptions!$F$20</f>
        <v/>
      </c>
    </row>
    <row r="18" ht="18" customHeight="1" s="10">
      <c r="A18" s="84" t="inlineStr">
        <is>
          <t>COGS</t>
        </is>
      </c>
      <c r="B18" s="38">
        <f>B15*B17</f>
        <v/>
      </c>
      <c r="C18" s="38">
        <f>C15*C17</f>
        <v/>
      </c>
      <c r="D18" s="38">
        <f>D15*D17</f>
        <v/>
      </c>
      <c r="E18" s="38">
        <f>E15*E17</f>
        <v/>
      </c>
      <c r="F18" s="38">
        <f>F15*F17</f>
        <v/>
      </c>
      <c r="G18" s="38">
        <f>G15*G17</f>
        <v/>
      </c>
      <c r="H18" s="38">
        <f>H15*H17</f>
        <v/>
      </c>
      <c r="I18" s="38">
        <f>I15*I17</f>
        <v/>
      </c>
      <c r="J18" s="38">
        <f>J15*J17</f>
        <v/>
      </c>
      <c r="K18" s="38">
        <f>K15*K17</f>
        <v/>
      </c>
      <c r="L18" s="38">
        <f>L15*L17</f>
        <v/>
      </c>
      <c r="M18" s="38">
        <f>M15*M17</f>
        <v/>
      </c>
      <c r="N18" s="38">
        <f>N15*N17</f>
        <v/>
      </c>
      <c r="O18" s="38">
        <f>O15*O17</f>
        <v/>
      </c>
      <c r="P18" s="38">
        <f>P15*P17</f>
        <v/>
      </c>
      <c r="Q18" s="38">
        <f>Q15*Q17</f>
        <v/>
      </c>
      <c r="R18" s="38">
        <f>R15*R17</f>
        <v/>
      </c>
      <c r="S18" s="38">
        <f>S15*S17</f>
        <v/>
      </c>
      <c r="T18" s="38">
        <f>T15*T17</f>
        <v/>
      </c>
      <c r="U18" s="38">
        <f>U15*U17</f>
        <v/>
      </c>
      <c r="V18" s="38">
        <f>V15*V17</f>
        <v/>
      </c>
      <c r="W18" s="38">
        <f>W15*W17</f>
        <v/>
      </c>
      <c r="X18" s="38">
        <f>X15*X17</f>
        <v/>
      </c>
      <c r="Y18" s="38">
        <f>Y15*Y17</f>
        <v/>
      </c>
    </row>
    <row r="19" ht="18" customHeight="1" s="10">
      <c r="A19" s="85" t="inlineStr">
        <is>
          <t>Gross Profit</t>
        </is>
      </c>
      <c r="B19" s="86">
        <f>B15-B18</f>
        <v/>
      </c>
      <c r="C19" s="86">
        <f>C15-C18</f>
        <v/>
      </c>
      <c r="D19" s="86">
        <f>D15-D18</f>
        <v/>
      </c>
      <c r="E19" s="86">
        <f>E15-E18</f>
        <v/>
      </c>
      <c r="F19" s="86">
        <f>F15-F18</f>
        <v/>
      </c>
      <c r="G19" s="86">
        <f>G15-G18</f>
        <v/>
      </c>
      <c r="H19" s="86">
        <f>H15-H18</f>
        <v/>
      </c>
      <c r="I19" s="86">
        <f>I15-I18</f>
        <v/>
      </c>
      <c r="J19" s="86">
        <f>J15-J18</f>
        <v/>
      </c>
      <c r="K19" s="86">
        <f>K15-K18</f>
        <v/>
      </c>
      <c r="L19" s="86">
        <f>L15-L18</f>
        <v/>
      </c>
      <c r="M19" s="86">
        <f>M15-M18</f>
        <v/>
      </c>
      <c r="N19" s="86">
        <f>N15-N18</f>
        <v/>
      </c>
      <c r="O19" s="86">
        <f>O15-O18</f>
        <v/>
      </c>
      <c r="P19" s="86">
        <f>P15-P18</f>
        <v/>
      </c>
      <c r="Q19" s="86">
        <f>Q15-Q18</f>
        <v/>
      </c>
      <c r="R19" s="86">
        <f>R15-R18</f>
        <v/>
      </c>
      <c r="S19" s="86">
        <f>S15-S18</f>
        <v/>
      </c>
      <c r="T19" s="86">
        <f>T15-T18</f>
        <v/>
      </c>
      <c r="U19" s="86">
        <f>U15-U18</f>
        <v/>
      </c>
      <c r="V19" s="86">
        <f>V15-V18</f>
        <v/>
      </c>
      <c r="W19" s="86">
        <f>W15-W18</f>
        <v/>
      </c>
      <c r="X19" s="86">
        <f>X15-X18</f>
        <v/>
      </c>
      <c r="Y19" s="86">
        <f>Y15-Y18</f>
        <v/>
      </c>
    </row>
    <row r="20" ht="18" customHeight="1" s="10"/>
    <row r="21" ht="18" customHeight="1" s="10"/>
    <row r="22" ht="18" customHeight="1" s="10"/>
    <row r="23" ht="18" customHeight="1" s="10"/>
    <row r="24" ht="18" customHeight="1" s="10"/>
    <row r="25" ht="18" customHeight="1" s="10"/>
    <row r="26" ht="18" customHeight="1" s="10"/>
    <row r="27" ht="18" customHeight="1" s="10"/>
    <row r="28" ht="18" customHeight="1" s="10"/>
    <row r="29" ht="18" customHeight="1" s="10"/>
    <row r="30" ht="18" customHeight="1" s="10"/>
    <row r="31" ht="18" customHeight="1" s="10"/>
    <row r="32" ht="18" customHeight="1" s="10"/>
    <row r="33" ht="18" customHeight="1" s="10"/>
    <row r="34" ht="18" customHeight="1" s="10"/>
    <row r="35" ht="18" customHeight="1" s="10"/>
    <row r="36" ht="18" customHeight="1" s="10"/>
    <row r="37" ht="18" customHeight="1" s="10"/>
    <row r="38" ht="18" customHeight="1" s="10"/>
    <row r="39" ht="18" customHeight="1" s="10"/>
    <row r="40" ht="18" customHeight="1" s="10"/>
    <row r="41" ht="18" customHeight="1" s="10"/>
    <row r="42" ht="18" customHeight="1" s="10"/>
    <row r="43" ht="18" customHeight="1" s="10"/>
    <row r="44" ht="18" customHeight="1" s="10"/>
    <row r="45" ht="18" customHeight="1" s="10"/>
    <row r="46" ht="18" customHeight="1" s="10"/>
    <row r="47" ht="18" customHeight="1" s="10"/>
    <row r="48" ht="18" customHeight="1" s="10"/>
    <row r="49" ht="18" customHeight="1" s="10"/>
    <row r="50" ht="18" customHeight="1" s="10"/>
    <row r="51" ht="18" customHeight="1" s="10"/>
    <row r="52" ht="18" customHeight="1" s="10"/>
    <row r="53" ht="18" customHeight="1" s="10"/>
    <row r="54" ht="18" customHeight="1" s="10"/>
    <row r="55" ht="18" customHeight="1" s="10"/>
    <row r="56" ht="18" customHeight="1" s="10"/>
    <row r="57" ht="18" customHeight="1" s="10"/>
    <row r="58" ht="18" customHeight="1" s="10"/>
    <row r="59" ht="18" customHeight="1" s="10"/>
    <row r="60" ht="18" customHeight="1" s="10"/>
    <row r="61" ht="18" customHeight="1" s="10"/>
    <row r="62" ht="18" customHeight="1" s="10"/>
    <row r="63" ht="18" customHeight="1" s="10"/>
    <row r="64" ht="18" customHeight="1" s="10"/>
    <row r="65" ht="18" customHeight="1" s="10"/>
    <row r="66" ht="18" customHeight="1" s="10"/>
    <row r="67" ht="18" customHeight="1" s="10"/>
    <row r="68" ht="18" customHeight="1" s="10"/>
    <row r="69" ht="18" customHeight="1" s="10"/>
    <row r="70" ht="18" customHeight="1" s="10"/>
    <row r="71" ht="18" customHeight="1" s="10"/>
    <row r="72" ht="18" customHeight="1" s="10"/>
    <row r="73" ht="18" customHeight="1" s="10"/>
    <row r="74" ht="18" customHeight="1" s="10"/>
    <row r="75" ht="18" customHeight="1" s="10"/>
    <row r="76" ht="18" customHeight="1" s="10"/>
    <row r="77" ht="18" customHeight="1" s="10"/>
    <row r="78" ht="18" customHeight="1" s="10"/>
    <row r="79" ht="18" customHeight="1" s="10"/>
  </sheetData>
  <mergeCells count="1">
    <mergeCell ref="A3:Y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3"/>
  <sheetViews>
    <sheetView showGridLines="0" zoomScaleNormal="100" workbookViewId="0">
      <selection activeCell="A1" sqref="A1"/>
    </sheetView>
  </sheetViews>
  <sheetFormatPr baseColWidth="8" defaultColWidth="8.7109375" defaultRowHeight="12.75"/>
  <cols>
    <col width="26" customWidth="1" style="10" min="1" max="1"/>
    <col width="11" customWidth="1" style="10" min="2" max="25"/>
  </cols>
  <sheetData>
    <row r="1" ht="24" customHeight="1" s="10">
      <c r="A1" s="16" t="inlineStr">
        <is>
          <t>Headcount &amp; Payroll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</row>
    <row r="2" ht="18" customHeight="1" s="10">
      <c r="A2" s="17" t="inlineStr">
        <is>
          <t>Editable hiring plan (blue/yellow) feeding monthly payroll expense.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</row>
    <row r="3" ht="18" customHeight="1" s="10">
      <c r="A3" s="3" t="inlineStr">
        <is>
          <t>Department Schedules</t>
        </is>
      </c>
      <c r="B3" s="145" t="n"/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5" t="n"/>
      <c r="R3" s="145" t="n"/>
      <c r="S3" s="145" t="n"/>
      <c r="T3" s="145" t="n"/>
      <c r="U3" s="145" t="n"/>
      <c r="V3" s="145" t="n"/>
      <c r="W3" s="145" t="n"/>
      <c r="X3" s="145" t="n"/>
      <c r="Y3" s="145" t="n"/>
    </row>
    <row r="4" ht="18" customHeight="1" s="10">
      <c r="A4" s="82" t="n"/>
      <c r="B4" s="83">
        <f>Assumptions!$F$6</f>
        <v/>
      </c>
      <c r="C4" s="83">
        <f>DATE(YEAR(B4),MONTH(B4)+1,1)</f>
        <v/>
      </c>
      <c r="D4" s="83">
        <f>DATE(YEAR(C4),MONTH(C4)+1,1)</f>
        <v/>
      </c>
      <c r="E4" s="83">
        <f>DATE(YEAR(D4),MONTH(D4)+1,1)</f>
        <v/>
      </c>
      <c r="F4" s="83">
        <f>DATE(YEAR(E4),MONTH(E4)+1,1)</f>
        <v/>
      </c>
      <c r="G4" s="83">
        <f>DATE(YEAR(F4),MONTH(F4)+1,1)</f>
        <v/>
      </c>
      <c r="H4" s="83">
        <f>DATE(YEAR(G4),MONTH(G4)+1,1)</f>
        <v/>
      </c>
      <c r="I4" s="83">
        <f>DATE(YEAR(H4),MONTH(H4)+1,1)</f>
        <v/>
      </c>
      <c r="J4" s="83">
        <f>DATE(YEAR(I4),MONTH(I4)+1,1)</f>
        <v/>
      </c>
      <c r="K4" s="83">
        <f>DATE(YEAR(J4),MONTH(J4)+1,1)</f>
        <v/>
      </c>
      <c r="L4" s="83">
        <f>DATE(YEAR(K4),MONTH(K4)+1,1)</f>
        <v/>
      </c>
      <c r="M4" s="83">
        <f>DATE(YEAR(L4),MONTH(L4)+1,1)</f>
        <v/>
      </c>
      <c r="N4" s="83">
        <f>DATE(YEAR(M4),MONTH(M4)+1,1)</f>
        <v/>
      </c>
      <c r="O4" s="83">
        <f>DATE(YEAR(N4),MONTH(N4)+1,1)</f>
        <v/>
      </c>
      <c r="P4" s="83">
        <f>DATE(YEAR(O4),MONTH(O4)+1,1)</f>
        <v/>
      </c>
      <c r="Q4" s="83">
        <f>DATE(YEAR(P4),MONTH(P4)+1,1)</f>
        <v/>
      </c>
      <c r="R4" s="83">
        <f>DATE(YEAR(Q4),MONTH(Q4)+1,1)</f>
        <v/>
      </c>
      <c r="S4" s="83">
        <f>DATE(YEAR(R4),MONTH(R4)+1,1)</f>
        <v/>
      </c>
      <c r="T4" s="83">
        <f>DATE(YEAR(S4),MONTH(S4)+1,1)</f>
        <v/>
      </c>
      <c r="U4" s="83">
        <f>DATE(YEAR(T4),MONTH(T4)+1,1)</f>
        <v/>
      </c>
      <c r="V4" s="83">
        <f>DATE(YEAR(U4),MONTH(U4)+1,1)</f>
        <v/>
      </c>
      <c r="W4" s="83">
        <f>DATE(YEAR(V4),MONTH(V4)+1,1)</f>
        <v/>
      </c>
      <c r="X4" s="83">
        <f>DATE(YEAR(W4),MONTH(W4)+1,1)</f>
        <v/>
      </c>
      <c r="Y4" s="83">
        <f>DATE(YEAR(X4),MONTH(X4)+1,1)</f>
        <v/>
      </c>
    </row>
    <row r="5" ht="18" customHeight="1" s="10">
      <c r="A5" s="18" t="n"/>
    </row>
    <row r="6" ht="18" customHeight="1" s="10">
      <c r="A6" s="2" t="inlineStr">
        <is>
          <t>Sales</t>
        </is>
      </c>
      <c r="B6" s="145" t="n"/>
      <c r="C6" s="145" t="n"/>
      <c r="D6" s="145" t="n"/>
      <c r="E6" s="145" t="n"/>
      <c r="F6" s="145" t="n"/>
      <c r="G6" s="145" t="n"/>
      <c r="H6" s="145" t="n"/>
      <c r="I6" s="145" t="n"/>
      <c r="J6" s="145" t="n"/>
      <c r="K6" s="145" t="n"/>
      <c r="L6" s="145" t="n"/>
      <c r="M6" s="145" t="n"/>
      <c r="N6" s="145" t="n"/>
      <c r="O6" s="145" t="n"/>
      <c r="P6" s="145" t="n"/>
      <c r="Q6" s="145" t="n"/>
      <c r="R6" s="145" t="n"/>
      <c r="S6" s="145" t="n"/>
      <c r="T6" s="145" t="n"/>
      <c r="U6" s="145" t="n"/>
      <c r="V6" s="145" t="n"/>
      <c r="W6" s="145" t="n"/>
      <c r="X6" s="145" t="n"/>
      <c r="Y6" s="145" t="n"/>
    </row>
    <row r="7" ht="18" customHeight="1" s="10">
      <c r="A7" s="84" t="inlineStr">
        <is>
          <t>Opening HC</t>
        </is>
      </c>
      <c r="B7" s="40">
        <f>Assumptions!$F$28</f>
        <v/>
      </c>
      <c r="C7" s="40">
        <f>B10</f>
        <v/>
      </c>
      <c r="D7" s="40">
        <f>C10</f>
        <v/>
      </c>
      <c r="E7" s="40">
        <f>D10</f>
        <v/>
      </c>
      <c r="F7" s="40">
        <f>E10</f>
        <v/>
      </c>
      <c r="G7" s="40">
        <f>F10</f>
        <v/>
      </c>
      <c r="H7" s="40">
        <f>G10</f>
        <v/>
      </c>
      <c r="I7" s="40">
        <f>H10</f>
        <v/>
      </c>
      <c r="J7" s="40">
        <f>I10</f>
        <v/>
      </c>
      <c r="K7" s="40">
        <f>J10</f>
        <v/>
      </c>
      <c r="L7" s="40">
        <f>K10</f>
        <v/>
      </c>
      <c r="M7" s="40">
        <f>L10</f>
        <v/>
      </c>
      <c r="N7" s="40">
        <f>M10</f>
        <v/>
      </c>
      <c r="O7" s="40">
        <f>N10</f>
        <v/>
      </c>
      <c r="P7" s="40">
        <f>O10</f>
        <v/>
      </c>
      <c r="Q7" s="40">
        <f>P10</f>
        <v/>
      </c>
      <c r="R7" s="40">
        <f>Q10</f>
        <v/>
      </c>
      <c r="S7" s="40">
        <f>R10</f>
        <v/>
      </c>
      <c r="T7" s="40">
        <f>S10</f>
        <v/>
      </c>
      <c r="U7" s="40">
        <f>T10</f>
        <v/>
      </c>
      <c r="V7" s="40">
        <f>U10</f>
        <v/>
      </c>
      <c r="W7" s="40">
        <f>V10</f>
        <v/>
      </c>
      <c r="X7" s="40">
        <f>W10</f>
        <v/>
      </c>
      <c r="Y7" s="40">
        <f>X10</f>
        <v/>
      </c>
    </row>
    <row r="8" ht="18" customHeight="1" s="10">
      <c r="A8" s="84" t="inlineStr">
        <is>
          <t>Hires</t>
        </is>
      </c>
      <c r="B8" s="68">
        <f>Data_Entry!B52</f>
        <v/>
      </c>
      <c r="C8" s="68">
        <f>Data_Entry!C52</f>
        <v/>
      </c>
      <c r="D8" s="68">
        <f>Data_Entry!D52</f>
        <v/>
      </c>
      <c r="E8" s="68">
        <f>Data_Entry!E52</f>
        <v/>
      </c>
      <c r="F8" s="68">
        <f>Data_Entry!F52</f>
        <v/>
      </c>
      <c r="G8" s="68">
        <f>Data_Entry!G52</f>
        <v/>
      </c>
      <c r="H8" s="68">
        <f>Data_Entry!H52</f>
        <v/>
      </c>
      <c r="I8" s="68">
        <f>Data_Entry!I52</f>
        <v/>
      </c>
      <c r="J8" s="68">
        <f>Data_Entry!J52</f>
        <v/>
      </c>
      <c r="K8" s="68">
        <f>Data_Entry!K52</f>
        <v/>
      </c>
      <c r="L8" s="68">
        <f>Data_Entry!L52</f>
        <v/>
      </c>
      <c r="M8" s="68">
        <f>Data_Entry!M52</f>
        <v/>
      </c>
      <c r="N8" s="68">
        <f>Data_Entry!N52</f>
        <v/>
      </c>
      <c r="O8" s="68">
        <f>Data_Entry!O52</f>
        <v/>
      </c>
      <c r="P8" s="68">
        <f>Data_Entry!P52</f>
        <v/>
      </c>
      <c r="Q8" s="68">
        <f>Data_Entry!Q52</f>
        <v/>
      </c>
      <c r="R8" s="68">
        <f>Data_Entry!R52</f>
        <v/>
      </c>
      <c r="S8" s="68">
        <f>Data_Entry!S52</f>
        <v/>
      </c>
      <c r="T8" s="68">
        <f>Data_Entry!T52</f>
        <v/>
      </c>
      <c r="U8" s="68">
        <f>Data_Entry!U52</f>
        <v/>
      </c>
      <c r="V8" s="68">
        <f>Data_Entry!V52</f>
        <v/>
      </c>
      <c r="W8" s="68">
        <f>Data_Entry!W52</f>
        <v/>
      </c>
      <c r="X8" s="68">
        <f>Data_Entry!X52</f>
        <v/>
      </c>
      <c r="Y8" s="68">
        <f>Data_Entry!Y52</f>
        <v/>
      </c>
    </row>
    <row r="9" ht="18" customHeight="1" s="10">
      <c r="A9" s="84" t="inlineStr">
        <is>
          <t>Terms</t>
        </is>
      </c>
      <c r="B9" s="68">
        <f>Data_Entry!B53</f>
        <v/>
      </c>
      <c r="C9" s="68">
        <f>Data_Entry!C53</f>
        <v/>
      </c>
      <c r="D9" s="68">
        <f>Data_Entry!D53</f>
        <v/>
      </c>
      <c r="E9" s="68">
        <f>Data_Entry!E53</f>
        <v/>
      </c>
      <c r="F9" s="68">
        <f>Data_Entry!F53</f>
        <v/>
      </c>
      <c r="G9" s="68">
        <f>Data_Entry!G53</f>
        <v/>
      </c>
      <c r="H9" s="68">
        <f>Data_Entry!H53</f>
        <v/>
      </c>
      <c r="I9" s="68">
        <f>Data_Entry!I53</f>
        <v/>
      </c>
      <c r="J9" s="68">
        <f>Data_Entry!J53</f>
        <v/>
      </c>
      <c r="K9" s="68">
        <f>Data_Entry!K53</f>
        <v/>
      </c>
      <c r="L9" s="68">
        <f>Data_Entry!L53</f>
        <v/>
      </c>
      <c r="M9" s="68">
        <f>Data_Entry!M53</f>
        <v/>
      </c>
      <c r="N9" s="68">
        <f>Data_Entry!N53</f>
        <v/>
      </c>
      <c r="O9" s="68">
        <f>Data_Entry!O53</f>
        <v/>
      </c>
      <c r="P9" s="68">
        <f>Data_Entry!P53</f>
        <v/>
      </c>
      <c r="Q9" s="68">
        <f>Data_Entry!Q53</f>
        <v/>
      </c>
      <c r="R9" s="68">
        <f>Data_Entry!R53</f>
        <v/>
      </c>
      <c r="S9" s="68">
        <f>Data_Entry!S53</f>
        <v/>
      </c>
      <c r="T9" s="68">
        <f>Data_Entry!T53</f>
        <v/>
      </c>
      <c r="U9" s="68">
        <f>Data_Entry!U53</f>
        <v/>
      </c>
      <c r="V9" s="68">
        <f>Data_Entry!V53</f>
        <v/>
      </c>
      <c r="W9" s="68">
        <f>Data_Entry!W53</f>
        <v/>
      </c>
      <c r="X9" s="68">
        <f>Data_Entry!X53</f>
        <v/>
      </c>
      <c r="Y9" s="68">
        <f>Data_Entry!Y53</f>
        <v/>
      </c>
    </row>
    <row r="10" ht="18" customHeight="1" s="10">
      <c r="A10" s="87" t="inlineStr">
        <is>
          <t>Ending HC</t>
        </is>
      </c>
      <c r="B10" s="40">
        <f>B7+B8-B9</f>
        <v/>
      </c>
      <c r="C10" s="40">
        <f>C7+C8-C9</f>
        <v/>
      </c>
      <c r="D10" s="40">
        <f>D7+D8-D9</f>
        <v/>
      </c>
      <c r="E10" s="40">
        <f>E7+E8-E9</f>
        <v/>
      </c>
      <c r="F10" s="40">
        <f>F7+F8-F9</f>
        <v/>
      </c>
      <c r="G10" s="40">
        <f>G7+G8-G9</f>
        <v/>
      </c>
      <c r="H10" s="40">
        <f>H7+H8-H9</f>
        <v/>
      </c>
      <c r="I10" s="40">
        <f>I7+I8-I9</f>
        <v/>
      </c>
      <c r="J10" s="40">
        <f>J7+J8-J9</f>
        <v/>
      </c>
      <c r="K10" s="40">
        <f>K7+K8-K9</f>
        <v/>
      </c>
      <c r="L10" s="40">
        <f>L7+L8-L9</f>
        <v/>
      </c>
      <c r="M10" s="40">
        <f>M7+M8-M9</f>
        <v/>
      </c>
      <c r="N10" s="40">
        <f>N7+N8-N9</f>
        <v/>
      </c>
      <c r="O10" s="40">
        <f>O7+O8-O9</f>
        <v/>
      </c>
      <c r="P10" s="40">
        <f>P7+P8-P9</f>
        <v/>
      </c>
      <c r="Q10" s="40">
        <f>Q7+Q8-Q9</f>
        <v/>
      </c>
      <c r="R10" s="40">
        <f>R7+R8-R9</f>
        <v/>
      </c>
      <c r="S10" s="40">
        <f>S7+S8-S9</f>
        <v/>
      </c>
      <c r="T10" s="40">
        <f>T7+T8-T9</f>
        <v/>
      </c>
      <c r="U10" s="40">
        <f>U7+U8-U9</f>
        <v/>
      </c>
      <c r="V10" s="40">
        <f>V7+V8-V9</f>
        <v/>
      </c>
      <c r="W10" s="40">
        <f>W7+W8-W9</f>
        <v/>
      </c>
      <c r="X10" s="40">
        <f>X7+X8-X9</f>
        <v/>
      </c>
      <c r="Y10" s="40">
        <f>Y7+Y8-Y9</f>
        <v/>
      </c>
    </row>
    <row r="11" ht="18" customHeight="1" s="10">
      <c r="A11" s="84" t="inlineStr">
        <is>
          <t>Average HC</t>
        </is>
      </c>
      <c r="B11" s="40">
        <f>(B7+B10)/2</f>
        <v/>
      </c>
      <c r="C11" s="40">
        <f>(C7+C10)/2</f>
        <v/>
      </c>
      <c r="D11" s="40">
        <f>(D7+D10)/2</f>
        <v/>
      </c>
      <c r="E11" s="40">
        <f>(E7+E10)/2</f>
        <v/>
      </c>
      <c r="F11" s="40">
        <f>(F7+F10)/2</f>
        <v/>
      </c>
      <c r="G11" s="40">
        <f>(G7+G10)/2</f>
        <v/>
      </c>
      <c r="H11" s="40">
        <f>(H7+H10)/2</f>
        <v/>
      </c>
      <c r="I11" s="40">
        <f>(I7+I10)/2</f>
        <v/>
      </c>
      <c r="J11" s="40">
        <f>(J7+J10)/2</f>
        <v/>
      </c>
      <c r="K11" s="40">
        <f>(K7+K10)/2</f>
        <v/>
      </c>
      <c r="L11" s="40">
        <f>(L7+L10)/2</f>
        <v/>
      </c>
      <c r="M11" s="40">
        <f>(M7+M10)/2</f>
        <v/>
      </c>
      <c r="N11" s="40">
        <f>(N7+N10)/2</f>
        <v/>
      </c>
      <c r="O11" s="40">
        <f>(O7+O10)/2</f>
        <v/>
      </c>
      <c r="P11" s="40">
        <f>(P7+P10)/2</f>
        <v/>
      </c>
      <c r="Q11" s="40">
        <f>(Q7+Q10)/2</f>
        <v/>
      </c>
      <c r="R11" s="40">
        <f>(R7+R10)/2</f>
        <v/>
      </c>
      <c r="S11" s="40">
        <f>(S7+S10)/2</f>
        <v/>
      </c>
      <c r="T11" s="40">
        <f>(T7+T10)/2</f>
        <v/>
      </c>
      <c r="U11" s="40">
        <f>(U7+U10)/2</f>
        <v/>
      </c>
      <c r="V11" s="40">
        <f>(V7+V10)/2</f>
        <v/>
      </c>
      <c r="W11" s="40">
        <f>(W7+W10)/2</f>
        <v/>
      </c>
      <c r="X11" s="40">
        <f>(X7+X10)/2</f>
        <v/>
      </c>
      <c r="Y11" s="40">
        <f>(Y7+Y10)/2</f>
        <v/>
      </c>
    </row>
    <row r="12" ht="18" customHeight="1" s="10">
      <c r="A12" s="87" t="inlineStr">
        <is>
          <t>Salary Expense</t>
        </is>
      </c>
      <c r="B12" s="38">
        <f>B11*Assumptions!$F$33/12*(1+Assumptions!$F$21)</f>
        <v/>
      </c>
      <c r="C12" s="38">
        <f>C11*Assumptions!$F$33/12*(1+Assumptions!$F$21)</f>
        <v/>
      </c>
      <c r="D12" s="38">
        <f>D11*Assumptions!$F$33/12*(1+Assumptions!$F$21)</f>
        <v/>
      </c>
      <c r="E12" s="38">
        <f>E11*Assumptions!$F$33/12*(1+Assumptions!$F$21)</f>
        <v/>
      </c>
      <c r="F12" s="38">
        <f>F11*Assumptions!$F$33/12*(1+Assumptions!$F$21)</f>
        <v/>
      </c>
      <c r="G12" s="38">
        <f>G11*Assumptions!$F$33/12*(1+Assumptions!$F$21)</f>
        <v/>
      </c>
      <c r="H12" s="38">
        <f>H11*Assumptions!$F$33/12*(1+Assumptions!$F$21)</f>
        <v/>
      </c>
      <c r="I12" s="38">
        <f>I11*Assumptions!$F$33/12*(1+Assumptions!$F$21)</f>
        <v/>
      </c>
      <c r="J12" s="38">
        <f>J11*Assumptions!$F$33/12*(1+Assumptions!$F$21)</f>
        <v/>
      </c>
      <c r="K12" s="38">
        <f>K11*Assumptions!$F$33/12*(1+Assumptions!$F$21)</f>
        <v/>
      </c>
      <c r="L12" s="38">
        <f>L11*Assumptions!$F$33/12*(1+Assumptions!$F$21)</f>
        <v/>
      </c>
      <c r="M12" s="38">
        <f>M11*Assumptions!$F$33/12*(1+Assumptions!$F$21)</f>
        <v/>
      </c>
      <c r="N12" s="38">
        <f>N11*Assumptions!$F$33/12*(1+Assumptions!$F$21)</f>
        <v/>
      </c>
      <c r="O12" s="38">
        <f>O11*Assumptions!$F$33/12*(1+Assumptions!$F$21)</f>
        <v/>
      </c>
      <c r="P12" s="38">
        <f>P11*Assumptions!$F$33/12*(1+Assumptions!$F$21)</f>
        <v/>
      </c>
      <c r="Q12" s="38">
        <f>Q11*Assumptions!$F$33/12*(1+Assumptions!$F$21)</f>
        <v/>
      </c>
      <c r="R12" s="38">
        <f>R11*Assumptions!$F$33/12*(1+Assumptions!$F$21)</f>
        <v/>
      </c>
      <c r="S12" s="38">
        <f>S11*Assumptions!$F$33/12*(1+Assumptions!$F$21)</f>
        <v/>
      </c>
      <c r="T12" s="38">
        <f>T11*Assumptions!$F$33/12*(1+Assumptions!$F$21)</f>
        <v/>
      </c>
      <c r="U12" s="38">
        <f>U11*Assumptions!$F$33/12*(1+Assumptions!$F$21)</f>
        <v/>
      </c>
      <c r="V12" s="38">
        <f>V11*Assumptions!$F$33/12*(1+Assumptions!$F$21)</f>
        <v/>
      </c>
      <c r="W12" s="38">
        <f>W11*Assumptions!$F$33/12*(1+Assumptions!$F$21)</f>
        <v/>
      </c>
      <c r="X12" s="38">
        <f>X11*Assumptions!$F$33/12*(1+Assumptions!$F$21)</f>
        <v/>
      </c>
      <c r="Y12" s="38">
        <f>Y11*Assumptions!$F$33/12*(1+Assumptions!$F$21)</f>
        <v/>
      </c>
    </row>
    <row r="13" ht="18" customHeight="1" s="10">
      <c r="A13" s="18" t="n"/>
    </row>
    <row r="14" ht="18" customHeight="1" s="10">
      <c r="A14" s="18" t="n"/>
    </row>
    <row r="15" ht="18" customHeight="1" s="10">
      <c r="A15" s="2" t="inlineStr">
        <is>
          <t>Marketing</t>
        </is>
      </c>
      <c r="B15" s="145" t="n"/>
      <c r="C15" s="145" t="n"/>
      <c r="D15" s="145" t="n"/>
      <c r="E15" s="145" t="n"/>
      <c r="F15" s="145" t="n"/>
      <c r="G15" s="145" t="n"/>
      <c r="H15" s="145" t="n"/>
      <c r="I15" s="145" t="n"/>
      <c r="J15" s="145" t="n"/>
      <c r="K15" s="145" t="n"/>
      <c r="L15" s="145" t="n"/>
      <c r="M15" s="145" t="n"/>
      <c r="N15" s="145" t="n"/>
      <c r="O15" s="145" t="n"/>
      <c r="P15" s="145" t="n"/>
      <c r="Q15" s="145" t="n"/>
      <c r="R15" s="145" t="n"/>
      <c r="S15" s="145" t="n"/>
      <c r="T15" s="145" t="n"/>
      <c r="U15" s="145" t="n"/>
      <c r="V15" s="145" t="n"/>
      <c r="W15" s="145" t="n"/>
      <c r="X15" s="145" t="n"/>
      <c r="Y15" s="145" t="n"/>
    </row>
    <row r="16" ht="18" customHeight="1" s="10">
      <c r="A16" s="84" t="inlineStr">
        <is>
          <t>Opening HC</t>
        </is>
      </c>
      <c r="B16" s="40">
        <f>Assumptions!$F$29</f>
        <v/>
      </c>
      <c r="C16" s="40">
        <f>B19</f>
        <v/>
      </c>
      <c r="D16" s="40">
        <f>C19</f>
        <v/>
      </c>
      <c r="E16" s="40">
        <f>D19</f>
        <v/>
      </c>
      <c r="F16" s="40">
        <f>E19</f>
        <v/>
      </c>
      <c r="G16" s="40">
        <f>F19</f>
        <v/>
      </c>
      <c r="H16" s="40">
        <f>G19</f>
        <v/>
      </c>
      <c r="I16" s="40">
        <f>H19</f>
        <v/>
      </c>
      <c r="J16" s="40">
        <f>I19</f>
        <v/>
      </c>
      <c r="K16" s="40">
        <f>J19</f>
        <v/>
      </c>
      <c r="L16" s="40">
        <f>K19</f>
        <v/>
      </c>
      <c r="M16" s="40">
        <f>L19</f>
        <v/>
      </c>
      <c r="N16" s="40">
        <f>M19</f>
        <v/>
      </c>
      <c r="O16" s="40">
        <f>N19</f>
        <v/>
      </c>
      <c r="P16" s="40">
        <f>O19</f>
        <v/>
      </c>
      <c r="Q16" s="40">
        <f>P19</f>
        <v/>
      </c>
      <c r="R16" s="40">
        <f>Q19</f>
        <v/>
      </c>
      <c r="S16" s="40">
        <f>R19</f>
        <v/>
      </c>
      <c r="T16" s="40">
        <f>S19</f>
        <v/>
      </c>
      <c r="U16" s="40">
        <f>T19</f>
        <v/>
      </c>
      <c r="V16" s="40">
        <f>U19</f>
        <v/>
      </c>
      <c r="W16" s="40">
        <f>V19</f>
        <v/>
      </c>
      <c r="X16" s="40">
        <f>W19</f>
        <v/>
      </c>
      <c r="Y16" s="40">
        <f>X19</f>
        <v/>
      </c>
    </row>
    <row r="17" ht="18" customHeight="1" s="10">
      <c r="A17" s="84" t="inlineStr">
        <is>
          <t>Hires</t>
        </is>
      </c>
      <c r="B17" s="68">
        <f>Data_Entry!B54</f>
        <v/>
      </c>
      <c r="C17" s="68">
        <f>Data_Entry!C54</f>
        <v/>
      </c>
      <c r="D17" s="68">
        <f>Data_Entry!D54</f>
        <v/>
      </c>
      <c r="E17" s="68">
        <f>Data_Entry!E54</f>
        <v/>
      </c>
      <c r="F17" s="68">
        <f>Data_Entry!F54</f>
        <v/>
      </c>
      <c r="G17" s="68">
        <f>Data_Entry!G54</f>
        <v/>
      </c>
      <c r="H17" s="68">
        <f>Data_Entry!H54</f>
        <v/>
      </c>
      <c r="I17" s="68">
        <f>Data_Entry!I54</f>
        <v/>
      </c>
      <c r="J17" s="68">
        <f>Data_Entry!J54</f>
        <v/>
      </c>
      <c r="K17" s="68">
        <f>Data_Entry!K54</f>
        <v/>
      </c>
      <c r="L17" s="68">
        <f>Data_Entry!L54</f>
        <v/>
      </c>
      <c r="M17" s="68">
        <f>Data_Entry!M54</f>
        <v/>
      </c>
      <c r="N17" s="68">
        <f>Data_Entry!N54</f>
        <v/>
      </c>
      <c r="O17" s="68">
        <f>Data_Entry!O54</f>
        <v/>
      </c>
      <c r="P17" s="68">
        <f>Data_Entry!P54</f>
        <v/>
      </c>
      <c r="Q17" s="68">
        <f>Data_Entry!Q54</f>
        <v/>
      </c>
      <c r="R17" s="68">
        <f>Data_Entry!R54</f>
        <v/>
      </c>
      <c r="S17" s="68">
        <f>Data_Entry!S54</f>
        <v/>
      </c>
      <c r="T17" s="68">
        <f>Data_Entry!T54</f>
        <v/>
      </c>
      <c r="U17" s="68">
        <f>Data_Entry!U54</f>
        <v/>
      </c>
      <c r="V17" s="68">
        <f>Data_Entry!V54</f>
        <v/>
      </c>
      <c r="W17" s="68">
        <f>Data_Entry!W54</f>
        <v/>
      </c>
      <c r="X17" s="68">
        <f>Data_Entry!X54</f>
        <v/>
      </c>
      <c r="Y17" s="68">
        <f>Data_Entry!Y54</f>
        <v/>
      </c>
    </row>
    <row r="18" ht="18" customHeight="1" s="10">
      <c r="A18" s="84" t="inlineStr">
        <is>
          <t>Terms</t>
        </is>
      </c>
      <c r="B18" s="76">
        <f>Data_Entry!B55</f>
        <v/>
      </c>
      <c r="C18" s="76">
        <f>Data_Entry!C55</f>
        <v/>
      </c>
      <c r="D18" s="76">
        <f>Data_Entry!D55</f>
        <v/>
      </c>
      <c r="E18" s="76">
        <f>Data_Entry!E55</f>
        <v/>
      </c>
      <c r="F18" s="76">
        <f>Data_Entry!F55</f>
        <v/>
      </c>
      <c r="G18" s="76">
        <f>Data_Entry!G55</f>
        <v/>
      </c>
      <c r="H18" s="76">
        <f>Data_Entry!H55</f>
        <v/>
      </c>
      <c r="I18" s="76">
        <f>Data_Entry!I55</f>
        <v/>
      </c>
      <c r="J18" s="76">
        <f>Data_Entry!J55</f>
        <v/>
      </c>
      <c r="K18" s="76">
        <f>Data_Entry!K55</f>
        <v/>
      </c>
      <c r="L18" s="76">
        <f>Data_Entry!L55</f>
        <v/>
      </c>
      <c r="M18" s="76">
        <f>Data_Entry!M55</f>
        <v/>
      </c>
      <c r="N18" s="76">
        <f>Data_Entry!N55</f>
        <v/>
      </c>
      <c r="O18" s="76">
        <f>Data_Entry!O55</f>
        <v/>
      </c>
      <c r="P18" s="76">
        <f>Data_Entry!P55</f>
        <v/>
      </c>
      <c r="Q18" s="76">
        <f>Data_Entry!Q55</f>
        <v/>
      </c>
      <c r="R18" s="76">
        <f>Data_Entry!R55</f>
        <v/>
      </c>
      <c r="S18" s="76">
        <f>Data_Entry!S55</f>
        <v/>
      </c>
      <c r="T18" s="76">
        <f>Data_Entry!T55</f>
        <v/>
      </c>
      <c r="U18" s="76">
        <f>Data_Entry!U55</f>
        <v/>
      </c>
      <c r="V18" s="76">
        <f>Data_Entry!V55</f>
        <v/>
      </c>
      <c r="W18" s="76">
        <f>Data_Entry!W55</f>
        <v/>
      </c>
      <c r="X18" s="76">
        <f>Data_Entry!X55</f>
        <v/>
      </c>
      <c r="Y18" s="76">
        <f>Data_Entry!Y55</f>
        <v/>
      </c>
    </row>
    <row r="19" ht="18" customHeight="1" s="10">
      <c r="A19" s="87" t="inlineStr">
        <is>
          <t>Ending HC</t>
        </is>
      </c>
      <c r="B19" s="40">
        <f>B16+B17-B18</f>
        <v/>
      </c>
      <c r="C19" s="40">
        <f>C16+C17-C18</f>
        <v/>
      </c>
      <c r="D19" s="40">
        <f>D16+D17-D18</f>
        <v/>
      </c>
      <c r="E19" s="40">
        <f>E16+E17-E18</f>
        <v/>
      </c>
      <c r="F19" s="40">
        <f>F16+F17-F18</f>
        <v/>
      </c>
      <c r="G19" s="40">
        <f>G16+G17-G18</f>
        <v/>
      </c>
      <c r="H19" s="40">
        <f>H16+H17-H18</f>
        <v/>
      </c>
      <c r="I19" s="40">
        <f>I16+I17-I18</f>
        <v/>
      </c>
      <c r="J19" s="40">
        <f>J16+J17-J18</f>
        <v/>
      </c>
      <c r="K19" s="40">
        <f>K16+K17-K18</f>
        <v/>
      </c>
      <c r="L19" s="40">
        <f>L16+L17-L18</f>
        <v/>
      </c>
      <c r="M19" s="40">
        <f>M16+M17-M18</f>
        <v/>
      </c>
      <c r="N19" s="40">
        <f>N16+N17-N18</f>
        <v/>
      </c>
      <c r="O19" s="40">
        <f>O16+O17-O18</f>
        <v/>
      </c>
      <c r="P19" s="40">
        <f>P16+P17-P18</f>
        <v/>
      </c>
      <c r="Q19" s="40">
        <f>Q16+Q17-Q18</f>
        <v/>
      </c>
      <c r="R19" s="40">
        <f>R16+R17-R18</f>
        <v/>
      </c>
      <c r="S19" s="40">
        <f>S16+S17-S18</f>
        <v/>
      </c>
      <c r="T19" s="40">
        <f>T16+T17-T18</f>
        <v/>
      </c>
      <c r="U19" s="40">
        <f>U16+U17-U18</f>
        <v/>
      </c>
      <c r="V19" s="40">
        <f>V16+V17-V18</f>
        <v/>
      </c>
      <c r="W19" s="40">
        <f>W16+W17-W18</f>
        <v/>
      </c>
      <c r="X19" s="40">
        <f>X16+X17-X18</f>
        <v/>
      </c>
      <c r="Y19" s="40">
        <f>Y16+Y17-Y18</f>
        <v/>
      </c>
    </row>
    <row r="20" ht="18" customHeight="1" s="10">
      <c r="A20" s="84" t="inlineStr">
        <is>
          <t>Average HC</t>
        </is>
      </c>
      <c r="B20" s="40">
        <f>(B16+B19)/2</f>
        <v/>
      </c>
      <c r="C20" s="40">
        <f>(C16+C19)/2</f>
        <v/>
      </c>
      <c r="D20" s="40">
        <f>(D16+D19)/2</f>
        <v/>
      </c>
      <c r="E20" s="40">
        <f>(E16+E19)/2</f>
        <v/>
      </c>
      <c r="F20" s="40">
        <f>(F16+F19)/2</f>
        <v/>
      </c>
      <c r="G20" s="40">
        <f>(G16+G19)/2</f>
        <v/>
      </c>
      <c r="H20" s="40">
        <f>(H16+H19)/2</f>
        <v/>
      </c>
      <c r="I20" s="40">
        <f>(I16+I19)/2</f>
        <v/>
      </c>
      <c r="J20" s="40">
        <f>(J16+J19)/2</f>
        <v/>
      </c>
      <c r="K20" s="40">
        <f>(K16+K19)/2</f>
        <v/>
      </c>
      <c r="L20" s="40">
        <f>(L16+L19)/2</f>
        <v/>
      </c>
      <c r="M20" s="40">
        <f>(M16+M19)/2</f>
        <v/>
      </c>
      <c r="N20" s="40">
        <f>(N16+N19)/2</f>
        <v/>
      </c>
      <c r="O20" s="40">
        <f>(O16+O19)/2</f>
        <v/>
      </c>
      <c r="P20" s="40">
        <f>(P16+P19)/2</f>
        <v/>
      </c>
      <c r="Q20" s="40">
        <f>(Q16+Q19)/2</f>
        <v/>
      </c>
      <c r="R20" s="40">
        <f>(R16+R19)/2</f>
        <v/>
      </c>
      <c r="S20" s="40">
        <f>(S16+S19)/2</f>
        <v/>
      </c>
      <c r="T20" s="40">
        <f>(T16+T19)/2</f>
        <v/>
      </c>
      <c r="U20" s="40">
        <f>(U16+U19)/2</f>
        <v/>
      </c>
      <c r="V20" s="40">
        <f>(V16+V19)/2</f>
        <v/>
      </c>
      <c r="W20" s="40">
        <f>(W16+W19)/2</f>
        <v/>
      </c>
      <c r="X20" s="40">
        <f>(X16+X19)/2</f>
        <v/>
      </c>
      <c r="Y20" s="40">
        <f>(Y16+Y19)/2</f>
        <v/>
      </c>
    </row>
    <row r="21" ht="18" customHeight="1" s="10">
      <c r="A21" s="87" t="inlineStr">
        <is>
          <t>Salary Expense</t>
        </is>
      </c>
      <c r="B21" s="38">
        <f>B20*Assumptions!$F$34/12*(1+Assumptions!$F$21)</f>
        <v/>
      </c>
      <c r="C21" s="38">
        <f>C20*Assumptions!$F$34/12*(1+Assumptions!$F$21)</f>
        <v/>
      </c>
      <c r="D21" s="38">
        <f>D20*Assumptions!$F$34/12*(1+Assumptions!$F$21)</f>
        <v/>
      </c>
      <c r="E21" s="38">
        <f>E20*Assumptions!$F$34/12*(1+Assumptions!$F$21)</f>
        <v/>
      </c>
      <c r="F21" s="38">
        <f>F20*Assumptions!$F$34/12*(1+Assumptions!$F$21)</f>
        <v/>
      </c>
      <c r="G21" s="38">
        <f>G20*Assumptions!$F$34/12*(1+Assumptions!$F$21)</f>
        <v/>
      </c>
      <c r="H21" s="38">
        <f>H20*Assumptions!$F$34/12*(1+Assumptions!$F$21)</f>
        <v/>
      </c>
      <c r="I21" s="38">
        <f>I20*Assumptions!$F$34/12*(1+Assumptions!$F$21)</f>
        <v/>
      </c>
      <c r="J21" s="38">
        <f>J20*Assumptions!$F$34/12*(1+Assumptions!$F$21)</f>
        <v/>
      </c>
      <c r="K21" s="38">
        <f>K20*Assumptions!$F$34/12*(1+Assumptions!$F$21)</f>
        <v/>
      </c>
      <c r="L21" s="38">
        <f>L20*Assumptions!$F$34/12*(1+Assumptions!$F$21)</f>
        <v/>
      </c>
      <c r="M21" s="38">
        <f>M20*Assumptions!$F$34/12*(1+Assumptions!$F$21)</f>
        <v/>
      </c>
      <c r="N21" s="38">
        <f>N20*Assumptions!$F$34/12*(1+Assumptions!$F$21)</f>
        <v/>
      </c>
      <c r="O21" s="38">
        <f>O20*Assumptions!$F$34/12*(1+Assumptions!$F$21)</f>
        <v/>
      </c>
      <c r="P21" s="38">
        <f>P20*Assumptions!$F$34/12*(1+Assumptions!$F$21)</f>
        <v/>
      </c>
      <c r="Q21" s="38">
        <f>Q20*Assumptions!$F$34/12*(1+Assumptions!$F$21)</f>
        <v/>
      </c>
      <c r="R21" s="38">
        <f>R20*Assumptions!$F$34/12*(1+Assumptions!$F$21)</f>
        <v/>
      </c>
      <c r="S21" s="38">
        <f>S20*Assumptions!$F$34/12*(1+Assumptions!$F$21)</f>
        <v/>
      </c>
      <c r="T21" s="38">
        <f>T20*Assumptions!$F$34/12*(1+Assumptions!$F$21)</f>
        <v/>
      </c>
      <c r="U21" s="38">
        <f>U20*Assumptions!$F$34/12*(1+Assumptions!$F$21)</f>
        <v/>
      </c>
      <c r="V21" s="38">
        <f>V20*Assumptions!$F$34/12*(1+Assumptions!$F$21)</f>
        <v/>
      </c>
      <c r="W21" s="38">
        <f>W20*Assumptions!$F$34/12*(1+Assumptions!$F$21)</f>
        <v/>
      </c>
      <c r="X21" s="38">
        <f>X20*Assumptions!$F$34/12*(1+Assumptions!$F$21)</f>
        <v/>
      </c>
      <c r="Y21" s="38">
        <f>Y20*Assumptions!$F$34/12*(1+Assumptions!$F$21)</f>
        <v/>
      </c>
    </row>
    <row r="22" ht="18" customHeight="1" s="10">
      <c r="A22" s="18" t="n"/>
    </row>
    <row r="23" ht="18" customHeight="1" s="10">
      <c r="A23" s="18" t="n"/>
    </row>
    <row r="24" ht="18" customHeight="1" s="10">
      <c r="A24" s="2" t="inlineStr">
        <is>
          <t>R&amp;D</t>
        </is>
      </c>
      <c r="B24" s="145" t="n"/>
      <c r="C24" s="145" t="n"/>
      <c r="D24" s="145" t="n"/>
      <c r="E24" s="145" t="n"/>
      <c r="F24" s="145" t="n"/>
      <c r="G24" s="145" t="n"/>
      <c r="H24" s="145" t="n"/>
      <c r="I24" s="145" t="n"/>
      <c r="J24" s="145" t="n"/>
      <c r="K24" s="145" t="n"/>
      <c r="L24" s="145" t="n"/>
      <c r="M24" s="145" t="n"/>
      <c r="N24" s="145" t="n"/>
      <c r="O24" s="145" t="n"/>
      <c r="P24" s="145" t="n"/>
      <c r="Q24" s="145" t="n"/>
      <c r="R24" s="145" t="n"/>
      <c r="S24" s="145" t="n"/>
      <c r="T24" s="145" t="n"/>
      <c r="U24" s="145" t="n"/>
      <c r="V24" s="145" t="n"/>
      <c r="W24" s="145" t="n"/>
      <c r="X24" s="145" t="n"/>
      <c r="Y24" s="145" t="n"/>
    </row>
    <row r="25" ht="18" customHeight="1" s="10">
      <c r="A25" s="84" t="inlineStr">
        <is>
          <t>Opening HC</t>
        </is>
      </c>
      <c r="B25" s="40">
        <f>Assumptions!$F$30</f>
        <v/>
      </c>
      <c r="C25" s="40">
        <f>B28</f>
        <v/>
      </c>
      <c r="D25" s="40">
        <f>C28</f>
        <v/>
      </c>
      <c r="E25" s="40">
        <f>D28</f>
        <v/>
      </c>
      <c r="F25" s="40">
        <f>E28</f>
        <v/>
      </c>
      <c r="G25" s="40">
        <f>F28</f>
        <v/>
      </c>
      <c r="H25" s="40">
        <f>G28</f>
        <v/>
      </c>
      <c r="I25" s="40">
        <f>H28</f>
        <v/>
      </c>
      <c r="J25" s="40">
        <f>I28</f>
        <v/>
      </c>
      <c r="K25" s="40">
        <f>J28</f>
        <v/>
      </c>
      <c r="L25" s="40">
        <f>K28</f>
        <v/>
      </c>
      <c r="M25" s="40">
        <f>L28</f>
        <v/>
      </c>
      <c r="N25" s="40">
        <f>M28</f>
        <v/>
      </c>
      <c r="O25" s="40">
        <f>N28</f>
        <v/>
      </c>
      <c r="P25" s="40">
        <f>O28</f>
        <v/>
      </c>
      <c r="Q25" s="40">
        <f>P28</f>
        <v/>
      </c>
      <c r="R25" s="40">
        <f>Q28</f>
        <v/>
      </c>
      <c r="S25" s="40">
        <f>R28</f>
        <v/>
      </c>
      <c r="T25" s="40">
        <f>S28</f>
        <v/>
      </c>
      <c r="U25" s="40">
        <f>T28</f>
        <v/>
      </c>
      <c r="V25" s="40">
        <f>U28</f>
        <v/>
      </c>
      <c r="W25" s="40">
        <f>V28</f>
        <v/>
      </c>
      <c r="X25" s="40">
        <f>W28</f>
        <v/>
      </c>
      <c r="Y25" s="40">
        <f>X28</f>
        <v/>
      </c>
    </row>
    <row r="26" ht="18" customHeight="1" s="10">
      <c r="A26" s="84" t="inlineStr">
        <is>
          <t>Hires</t>
        </is>
      </c>
      <c r="B26" s="79">
        <f>Data_Entry!B56</f>
        <v/>
      </c>
      <c r="C26" s="79">
        <f>Data_Entry!C56</f>
        <v/>
      </c>
      <c r="D26" s="79">
        <f>Data_Entry!D56</f>
        <v/>
      </c>
      <c r="E26" s="79">
        <f>Data_Entry!E56</f>
        <v/>
      </c>
      <c r="F26" s="79">
        <f>Data_Entry!F56</f>
        <v/>
      </c>
      <c r="G26" s="79">
        <f>Data_Entry!G56</f>
        <v/>
      </c>
      <c r="H26" s="79">
        <f>Data_Entry!H56</f>
        <v/>
      </c>
      <c r="I26" s="79">
        <f>Data_Entry!I56</f>
        <v/>
      </c>
      <c r="J26" s="79">
        <f>Data_Entry!J56</f>
        <v/>
      </c>
      <c r="K26" s="79">
        <f>Data_Entry!K56</f>
        <v/>
      </c>
      <c r="L26" s="79">
        <f>Data_Entry!L56</f>
        <v/>
      </c>
      <c r="M26" s="79">
        <f>Data_Entry!M56</f>
        <v/>
      </c>
      <c r="N26" s="79">
        <f>Data_Entry!N56</f>
        <v/>
      </c>
      <c r="O26" s="79">
        <f>Data_Entry!O56</f>
        <v/>
      </c>
      <c r="P26" s="79">
        <f>Data_Entry!P56</f>
        <v/>
      </c>
      <c r="Q26" s="79">
        <f>Data_Entry!Q56</f>
        <v/>
      </c>
      <c r="R26" s="79">
        <f>Data_Entry!R56</f>
        <v/>
      </c>
      <c r="S26" s="79">
        <f>Data_Entry!S56</f>
        <v/>
      </c>
      <c r="T26" s="79">
        <f>Data_Entry!T56</f>
        <v/>
      </c>
      <c r="U26" s="79">
        <f>Data_Entry!U56</f>
        <v/>
      </c>
      <c r="V26" s="79">
        <f>Data_Entry!V56</f>
        <v/>
      </c>
      <c r="W26" s="79">
        <f>Data_Entry!W56</f>
        <v/>
      </c>
      <c r="X26" s="79">
        <f>Data_Entry!X56</f>
        <v/>
      </c>
      <c r="Y26" s="79">
        <f>Data_Entry!Y56</f>
        <v/>
      </c>
    </row>
    <row r="27" ht="18" customHeight="1" s="10">
      <c r="A27" s="84" t="inlineStr">
        <is>
          <t>Terms</t>
        </is>
      </c>
      <c r="B27" s="79">
        <f>Data_Entry!B57</f>
        <v/>
      </c>
      <c r="C27" s="79">
        <f>Data_Entry!C57</f>
        <v/>
      </c>
      <c r="D27" s="79">
        <f>Data_Entry!D57</f>
        <v/>
      </c>
      <c r="E27" s="79">
        <f>Data_Entry!E57</f>
        <v/>
      </c>
      <c r="F27" s="79">
        <f>Data_Entry!F57</f>
        <v/>
      </c>
      <c r="G27" s="79">
        <f>Data_Entry!G57</f>
        <v/>
      </c>
      <c r="H27" s="79">
        <f>Data_Entry!H57</f>
        <v/>
      </c>
      <c r="I27" s="79">
        <f>Data_Entry!I57</f>
        <v/>
      </c>
      <c r="J27" s="79">
        <f>Data_Entry!J57</f>
        <v/>
      </c>
      <c r="K27" s="79">
        <f>Data_Entry!K57</f>
        <v/>
      </c>
      <c r="L27" s="79">
        <f>Data_Entry!L57</f>
        <v/>
      </c>
      <c r="M27" s="79">
        <f>Data_Entry!M57</f>
        <v/>
      </c>
      <c r="N27" s="79">
        <f>Data_Entry!N57</f>
        <v/>
      </c>
      <c r="O27" s="79">
        <f>Data_Entry!O57</f>
        <v/>
      </c>
      <c r="P27" s="79">
        <f>Data_Entry!P57</f>
        <v/>
      </c>
      <c r="Q27" s="79">
        <f>Data_Entry!Q57</f>
        <v/>
      </c>
      <c r="R27" s="79">
        <f>Data_Entry!R57</f>
        <v/>
      </c>
      <c r="S27" s="79">
        <f>Data_Entry!S57</f>
        <v/>
      </c>
      <c r="T27" s="79">
        <f>Data_Entry!T57</f>
        <v/>
      </c>
      <c r="U27" s="79">
        <f>Data_Entry!U57</f>
        <v/>
      </c>
      <c r="V27" s="79">
        <f>Data_Entry!V57</f>
        <v/>
      </c>
      <c r="W27" s="79">
        <f>Data_Entry!W57</f>
        <v/>
      </c>
      <c r="X27" s="79">
        <f>Data_Entry!X57</f>
        <v/>
      </c>
      <c r="Y27" s="79">
        <f>Data_Entry!Y57</f>
        <v/>
      </c>
    </row>
    <row r="28" ht="18" customHeight="1" s="10">
      <c r="A28" s="87" t="inlineStr">
        <is>
          <t>Ending HC</t>
        </is>
      </c>
      <c r="B28" s="40">
        <f>B25+B26-B27</f>
        <v/>
      </c>
      <c r="C28" s="40">
        <f>C25+C26-C27</f>
        <v/>
      </c>
      <c r="D28" s="40">
        <f>D25+D26-D27</f>
        <v/>
      </c>
      <c r="E28" s="40">
        <f>E25+E26-E27</f>
        <v/>
      </c>
      <c r="F28" s="40">
        <f>F25+F26-F27</f>
        <v/>
      </c>
      <c r="G28" s="40">
        <f>G25+G26-G27</f>
        <v/>
      </c>
      <c r="H28" s="40">
        <f>H25+H26-H27</f>
        <v/>
      </c>
      <c r="I28" s="40">
        <f>I25+I26-I27</f>
        <v/>
      </c>
      <c r="J28" s="40">
        <f>J25+J26-J27</f>
        <v/>
      </c>
      <c r="K28" s="40">
        <f>K25+K26-K27</f>
        <v/>
      </c>
      <c r="L28" s="40">
        <f>L25+L26-L27</f>
        <v/>
      </c>
      <c r="M28" s="40">
        <f>M25+M26-M27</f>
        <v/>
      </c>
      <c r="N28" s="40">
        <f>N25+N26-N27</f>
        <v/>
      </c>
      <c r="O28" s="40">
        <f>O25+O26-O27</f>
        <v/>
      </c>
      <c r="P28" s="40">
        <f>P25+P26-P27</f>
        <v/>
      </c>
      <c r="Q28" s="40">
        <f>Q25+Q26-Q27</f>
        <v/>
      </c>
      <c r="R28" s="40">
        <f>R25+R26-R27</f>
        <v/>
      </c>
      <c r="S28" s="40">
        <f>S25+S26-S27</f>
        <v/>
      </c>
      <c r="T28" s="40">
        <f>T25+T26-T27</f>
        <v/>
      </c>
      <c r="U28" s="40">
        <f>U25+U26-U27</f>
        <v/>
      </c>
      <c r="V28" s="40">
        <f>V25+V26-V27</f>
        <v/>
      </c>
      <c r="W28" s="40">
        <f>W25+W26-W27</f>
        <v/>
      </c>
      <c r="X28" s="40">
        <f>X25+X26-X27</f>
        <v/>
      </c>
      <c r="Y28" s="40">
        <f>Y25+Y26-Y27</f>
        <v/>
      </c>
    </row>
    <row r="29" ht="18" customHeight="1" s="10">
      <c r="A29" s="84" t="inlineStr">
        <is>
          <t>Average HC</t>
        </is>
      </c>
      <c r="B29" s="40">
        <f>(B25+B28)/2</f>
        <v/>
      </c>
      <c r="C29" s="40">
        <f>(C25+C28)/2</f>
        <v/>
      </c>
      <c r="D29" s="40">
        <f>(D25+D28)/2</f>
        <v/>
      </c>
      <c r="E29" s="40">
        <f>(E25+E28)/2</f>
        <v/>
      </c>
      <c r="F29" s="40">
        <f>(F25+F28)/2</f>
        <v/>
      </c>
      <c r="G29" s="40">
        <f>(G25+G28)/2</f>
        <v/>
      </c>
      <c r="H29" s="40">
        <f>(H25+H28)/2</f>
        <v/>
      </c>
      <c r="I29" s="40">
        <f>(I25+I28)/2</f>
        <v/>
      </c>
      <c r="J29" s="40">
        <f>(J25+J28)/2</f>
        <v/>
      </c>
      <c r="K29" s="40">
        <f>(K25+K28)/2</f>
        <v/>
      </c>
      <c r="L29" s="40">
        <f>(L25+L28)/2</f>
        <v/>
      </c>
      <c r="M29" s="40">
        <f>(M25+M28)/2</f>
        <v/>
      </c>
      <c r="N29" s="40">
        <f>(N25+N28)/2</f>
        <v/>
      </c>
      <c r="O29" s="40">
        <f>(O25+O28)/2</f>
        <v/>
      </c>
      <c r="P29" s="40">
        <f>(P25+P28)/2</f>
        <v/>
      </c>
      <c r="Q29" s="40">
        <f>(Q25+Q28)/2</f>
        <v/>
      </c>
      <c r="R29" s="40">
        <f>(R25+R28)/2</f>
        <v/>
      </c>
      <c r="S29" s="40">
        <f>(S25+S28)/2</f>
        <v/>
      </c>
      <c r="T29" s="40">
        <f>(T25+T28)/2</f>
        <v/>
      </c>
      <c r="U29" s="40">
        <f>(U25+U28)/2</f>
        <v/>
      </c>
      <c r="V29" s="40">
        <f>(V25+V28)/2</f>
        <v/>
      </c>
      <c r="W29" s="40">
        <f>(W25+W28)/2</f>
        <v/>
      </c>
      <c r="X29" s="40">
        <f>(X25+X28)/2</f>
        <v/>
      </c>
      <c r="Y29" s="40">
        <f>(Y25+Y28)/2</f>
        <v/>
      </c>
    </row>
    <row r="30" ht="18" customHeight="1" s="10">
      <c r="A30" s="87" t="inlineStr">
        <is>
          <t>Salary Expense</t>
        </is>
      </c>
      <c r="B30" s="38">
        <f>B29*Assumptions!$F$35/12*(1+Assumptions!$F$21)</f>
        <v/>
      </c>
      <c r="C30" s="38">
        <f>C29*Assumptions!$F$35/12*(1+Assumptions!$F$21)</f>
        <v/>
      </c>
      <c r="D30" s="38">
        <f>D29*Assumptions!$F$35/12*(1+Assumptions!$F$21)</f>
        <v/>
      </c>
      <c r="E30" s="38">
        <f>E29*Assumptions!$F$35/12*(1+Assumptions!$F$21)</f>
        <v/>
      </c>
      <c r="F30" s="38">
        <f>F29*Assumptions!$F$35/12*(1+Assumptions!$F$21)</f>
        <v/>
      </c>
      <c r="G30" s="38">
        <f>G29*Assumptions!$F$35/12*(1+Assumptions!$F$21)</f>
        <v/>
      </c>
      <c r="H30" s="38">
        <f>H29*Assumptions!$F$35/12*(1+Assumptions!$F$21)</f>
        <v/>
      </c>
      <c r="I30" s="38">
        <f>I29*Assumptions!$F$35/12*(1+Assumptions!$F$21)</f>
        <v/>
      </c>
      <c r="J30" s="38">
        <f>J29*Assumptions!$F$35/12*(1+Assumptions!$F$21)</f>
        <v/>
      </c>
      <c r="K30" s="38">
        <f>K29*Assumptions!$F$35/12*(1+Assumptions!$F$21)</f>
        <v/>
      </c>
      <c r="L30" s="38">
        <f>L29*Assumptions!$F$35/12*(1+Assumptions!$F$21)</f>
        <v/>
      </c>
      <c r="M30" s="38">
        <f>M29*Assumptions!$F$35/12*(1+Assumptions!$F$21)</f>
        <v/>
      </c>
      <c r="N30" s="38">
        <f>N29*Assumptions!$F$35/12*(1+Assumptions!$F$21)</f>
        <v/>
      </c>
      <c r="O30" s="38">
        <f>O29*Assumptions!$F$35/12*(1+Assumptions!$F$21)</f>
        <v/>
      </c>
      <c r="P30" s="38">
        <f>P29*Assumptions!$F$35/12*(1+Assumptions!$F$21)</f>
        <v/>
      </c>
      <c r="Q30" s="38">
        <f>Q29*Assumptions!$F$35/12*(1+Assumptions!$F$21)</f>
        <v/>
      </c>
      <c r="R30" s="38">
        <f>R29*Assumptions!$F$35/12*(1+Assumptions!$F$21)</f>
        <v/>
      </c>
      <c r="S30" s="38">
        <f>S29*Assumptions!$F$35/12*(1+Assumptions!$F$21)</f>
        <v/>
      </c>
      <c r="T30" s="38">
        <f>T29*Assumptions!$F$35/12*(1+Assumptions!$F$21)</f>
        <v/>
      </c>
      <c r="U30" s="38">
        <f>U29*Assumptions!$F$35/12*(1+Assumptions!$F$21)</f>
        <v/>
      </c>
      <c r="V30" s="38">
        <f>V29*Assumptions!$F$35/12*(1+Assumptions!$F$21)</f>
        <v/>
      </c>
      <c r="W30" s="38">
        <f>W29*Assumptions!$F$35/12*(1+Assumptions!$F$21)</f>
        <v/>
      </c>
      <c r="X30" s="38">
        <f>X29*Assumptions!$F$35/12*(1+Assumptions!$F$21)</f>
        <v/>
      </c>
      <c r="Y30" s="38">
        <f>Y29*Assumptions!$F$35/12*(1+Assumptions!$F$21)</f>
        <v/>
      </c>
    </row>
    <row r="31" ht="18" customHeight="1" s="10">
      <c r="A31" s="18" t="n"/>
    </row>
    <row r="32" ht="18" customHeight="1" s="10">
      <c r="A32" s="18" t="n"/>
    </row>
    <row r="33" ht="18" customHeight="1" s="10">
      <c r="A33" s="2" t="inlineStr">
        <is>
          <t>G&amp;A</t>
        </is>
      </c>
      <c r="B33" s="145" t="n"/>
      <c r="C33" s="145" t="n"/>
      <c r="D33" s="145" t="n"/>
      <c r="E33" s="145" t="n"/>
      <c r="F33" s="145" t="n"/>
      <c r="G33" s="145" t="n"/>
      <c r="H33" s="145" t="n"/>
      <c r="I33" s="145" t="n"/>
      <c r="J33" s="145" t="n"/>
      <c r="K33" s="145" t="n"/>
      <c r="L33" s="145" t="n"/>
      <c r="M33" s="145" t="n"/>
      <c r="N33" s="145" t="n"/>
      <c r="O33" s="145" t="n"/>
      <c r="P33" s="145" t="n"/>
      <c r="Q33" s="145" t="n"/>
      <c r="R33" s="145" t="n"/>
      <c r="S33" s="145" t="n"/>
      <c r="T33" s="145" t="n"/>
      <c r="U33" s="145" t="n"/>
      <c r="V33" s="145" t="n"/>
      <c r="W33" s="145" t="n"/>
      <c r="X33" s="145" t="n"/>
      <c r="Y33" s="145" t="n"/>
    </row>
    <row r="34" ht="18" customHeight="1" s="10">
      <c r="A34" s="84" t="inlineStr">
        <is>
          <t>Opening HC</t>
        </is>
      </c>
      <c r="B34" s="40">
        <f>Assumptions!$F$31</f>
        <v/>
      </c>
      <c r="C34" s="40">
        <f>B37</f>
        <v/>
      </c>
      <c r="D34" s="40">
        <f>C37</f>
        <v/>
      </c>
      <c r="E34" s="40">
        <f>D37</f>
        <v/>
      </c>
      <c r="F34" s="40">
        <f>E37</f>
        <v/>
      </c>
      <c r="G34" s="40">
        <f>F37</f>
        <v/>
      </c>
      <c r="H34" s="40">
        <f>G37</f>
        <v/>
      </c>
      <c r="I34" s="40">
        <f>H37</f>
        <v/>
      </c>
      <c r="J34" s="40">
        <f>I37</f>
        <v/>
      </c>
      <c r="K34" s="40">
        <f>J37</f>
        <v/>
      </c>
      <c r="L34" s="40">
        <f>K37</f>
        <v/>
      </c>
      <c r="M34" s="40">
        <f>L37</f>
        <v/>
      </c>
      <c r="N34" s="40">
        <f>M37</f>
        <v/>
      </c>
      <c r="O34" s="40">
        <f>N37</f>
        <v/>
      </c>
      <c r="P34" s="40">
        <f>O37</f>
        <v/>
      </c>
      <c r="Q34" s="40">
        <f>P37</f>
        <v/>
      </c>
      <c r="R34" s="40">
        <f>Q37</f>
        <v/>
      </c>
      <c r="S34" s="40">
        <f>R37</f>
        <v/>
      </c>
      <c r="T34" s="40">
        <f>S37</f>
        <v/>
      </c>
      <c r="U34" s="40">
        <f>T37</f>
        <v/>
      </c>
      <c r="V34" s="40">
        <f>U37</f>
        <v/>
      </c>
      <c r="W34" s="40">
        <f>V37</f>
        <v/>
      </c>
      <c r="X34" s="40">
        <f>W37</f>
        <v/>
      </c>
      <c r="Y34" s="40">
        <f>X37</f>
        <v/>
      </c>
    </row>
    <row r="35" ht="18" customHeight="1" s="10">
      <c r="A35" s="84" t="inlineStr">
        <is>
          <t>Hires</t>
        </is>
      </c>
      <c r="B35" s="79">
        <f>Data_Entry!B58</f>
        <v/>
      </c>
      <c r="C35" s="79">
        <f>Data_Entry!C58</f>
        <v/>
      </c>
      <c r="D35" s="79">
        <f>Data_Entry!D58</f>
        <v/>
      </c>
      <c r="E35" s="79">
        <f>Data_Entry!E58</f>
        <v/>
      </c>
      <c r="F35" s="79">
        <f>Data_Entry!F58</f>
        <v/>
      </c>
      <c r="G35" s="79">
        <f>Data_Entry!G58</f>
        <v/>
      </c>
      <c r="H35" s="79">
        <f>Data_Entry!H58</f>
        <v/>
      </c>
      <c r="I35" s="79">
        <f>Data_Entry!I58</f>
        <v/>
      </c>
      <c r="J35" s="79">
        <f>Data_Entry!J58</f>
        <v/>
      </c>
      <c r="K35" s="79">
        <f>Data_Entry!K58</f>
        <v/>
      </c>
      <c r="L35" s="79">
        <f>Data_Entry!L58</f>
        <v/>
      </c>
      <c r="M35" s="79">
        <f>Data_Entry!M58</f>
        <v/>
      </c>
      <c r="N35" s="79">
        <f>Data_Entry!N58</f>
        <v/>
      </c>
      <c r="O35" s="79">
        <f>Data_Entry!O58</f>
        <v/>
      </c>
      <c r="P35" s="79">
        <f>Data_Entry!P58</f>
        <v/>
      </c>
      <c r="Q35" s="79">
        <f>Data_Entry!Q58</f>
        <v/>
      </c>
      <c r="R35" s="79">
        <f>Data_Entry!R58</f>
        <v/>
      </c>
      <c r="S35" s="79">
        <f>Data_Entry!S58</f>
        <v/>
      </c>
      <c r="T35" s="79">
        <f>Data_Entry!T58</f>
        <v/>
      </c>
      <c r="U35" s="79">
        <f>Data_Entry!U58</f>
        <v/>
      </c>
      <c r="V35" s="79">
        <f>Data_Entry!V58</f>
        <v/>
      </c>
      <c r="W35" s="79">
        <f>Data_Entry!W58</f>
        <v/>
      </c>
      <c r="X35" s="79">
        <f>Data_Entry!X58</f>
        <v/>
      </c>
      <c r="Y35" s="79">
        <f>Data_Entry!Y58</f>
        <v/>
      </c>
    </row>
    <row r="36" ht="18" customHeight="1" s="10">
      <c r="A36" s="84" t="inlineStr">
        <is>
          <t>Terms</t>
        </is>
      </c>
      <c r="B36" s="79">
        <f>Data_Entry!B59</f>
        <v/>
      </c>
      <c r="C36" s="79">
        <f>Data_Entry!C59</f>
        <v/>
      </c>
      <c r="D36" s="79">
        <f>Data_Entry!D59</f>
        <v/>
      </c>
      <c r="E36" s="79">
        <f>Data_Entry!E59</f>
        <v/>
      </c>
      <c r="F36" s="79">
        <f>Data_Entry!F59</f>
        <v/>
      </c>
      <c r="G36" s="79">
        <f>Data_Entry!G59</f>
        <v/>
      </c>
      <c r="H36" s="79">
        <f>Data_Entry!H59</f>
        <v/>
      </c>
      <c r="I36" s="79">
        <f>Data_Entry!I59</f>
        <v/>
      </c>
      <c r="J36" s="79">
        <f>Data_Entry!J59</f>
        <v/>
      </c>
      <c r="K36" s="79">
        <f>Data_Entry!K59</f>
        <v/>
      </c>
      <c r="L36" s="79">
        <f>Data_Entry!L59</f>
        <v/>
      </c>
      <c r="M36" s="79">
        <f>Data_Entry!M59</f>
        <v/>
      </c>
      <c r="N36" s="79">
        <f>Data_Entry!N59</f>
        <v/>
      </c>
      <c r="O36" s="79">
        <f>Data_Entry!O59</f>
        <v/>
      </c>
      <c r="P36" s="79">
        <f>Data_Entry!P59</f>
        <v/>
      </c>
      <c r="Q36" s="79">
        <f>Data_Entry!Q59</f>
        <v/>
      </c>
      <c r="R36" s="79">
        <f>Data_Entry!R59</f>
        <v/>
      </c>
      <c r="S36" s="79">
        <f>Data_Entry!S59</f>
        <v/>
      </c>
      <c r="T36" s="79">
        <f>Data_Entry!T59</f>
        <v/>
      </c>
      <c r="U36" s="79">
        <f>Data_Entry!U59</f>
        <v/>
      </c>
      <c r="V36" s="79">
        <f>Data_Entry!V59</f>
        <v/>
      </c>
      <c r="W36" s="79">
        <f>Data_Entry!W59</f>
        <v/>
      </c>
      <c r="X36" s="79">
        <f>Data_Entry!X59</f>
        <v/>
      </c>
      <c r="Y36" s="79">
        <f>Data_Entry!Y59</f>
        <v/>
      </c>
    </row>
    <row r="37" ht="18" customHeight="1" s="10">
      <c r="A37" s="87" t="inlineStr">
        <is>
          <t>Ending HC</t>
        </is>
      </c>
      <c r="B37" s="40">
        <f>B34+B35-B36</f>
        <v/>
      </c>
      <c r="C37" s="40">
        <f>C34+C35-C36</f>
        <v/>
      </c>
      <c r="D37" s="40">
        <f>D34+D35-D36</f>
        <v/>
      </c>
      <c r="E37" s="40">
        <f>E34+E35-E36</f>
        <v/>
      </c>
      <c r="F37" s="40">
        <f>F34+F35-F36</f>
        <v/>
      </c>
      <c r="G37" s="40">
        <f>G34+G35-G36</f>
        <v/>
      </c>
      <c r="H37" s="40">
        <f>H34+H35-H36</f>
        <v/>
      </c>
      <c r="I37" s="40">
        <f>I34+I35-I36</f>
        <v/>
      </c>
      <c r="J37" s="40">
        <f>J34+J35-J36</f>
        <v/>
      </c>
      <c r="K37" s="40">
        <f>K34+K35-K36</f>
        <v/>
      </c>
      <c r="L37" s="40">
        <f>L34+L35-L36</f>
        <v/>
      </c>
      <c r="M37" s="40">
        <f>M34+M35-M36</f>
        <v/>
      </c>
      <c r="N37" s="40">
        <f>N34+N35-N36</f>
        <v/>
      </c>
      <c r="O37" s="40">
        <f>O34+O35-O36</f>
        <v/>
      </c>
      <c r="P37" s="40">
        <f>P34+P35-P36</f>
        <v/>
      </c>
      <c r="Q37" s="40">
        <f>Q34+Q35-Q36</f>
        <v/>
      </c>
      <c r="R37" s="40">
        <f>R34+R35-R36</f>
        <v/>
      </c>
      <c r="S37" s="40">
        <f>S34+S35-S36</f>
        <v/>
      </c>
      <c r="T37" s="40">
        <f>T34+T35-T36</f>
        <v/>
      </c>
      <c r="U37" s="40">
        <f>U34+U35-U36</f>
        <v/>
      </c>
      <c r="V37" s="40">
        <f>V34+V35-V36</f>
        <v/>
      </c>
      <c r="W37" s="40">
        <f>W34+W35-W36</f>
        <v/>
      </c>
      <c r="X37" s="40">
        <f>X34+X35-X36</f>
        <v/>
      </c>
      <c r="Y37" s="40">
        <f>Y34+Y35-Y36</f>
        <v/>
      </c>
    </row>
    <row r="38" ht="18" customHeight="1" s="10">
      <c r="A38" s="84" t="inlineStr">
        <is>
          <t>Average HC</t>
        </is>
      </c>
      <c r="B38" s="40">
        <f>(B34+B37)/2</f>
        <v/>
      </c>
      <c r="C38" s="40">
        <f>(C34+C37)/2</f>
        <v/>
      </c>
      <c r="D38" s="40">
        <f>(D34+D37)/2</f>
        <v/>
      </c>
      <c r="E38" s="40">
        <f>(E34+E37)/2</f>
        <v/>
      </c>
      <c r="F38" s="40">
        <f>(F34+F37)/2</f>
        <v/>
      </c>
      <c r="G38" s="40">
        <f>(G34+G37)/2</f>
        <v/>
      </c>
      <c r="H38" s="40">
        <f>(H34+H37)/2</f>
        <v/>
      </c>
      <c r="I38" s="40">
        <f>(I34+I37)/2</f>
        <v/>
      </c>
      <c r="J38" s="40">
        <f>(J34+J37)/2</f>
        <v/>
      </c>
      <c r="K38" s="40">
        <f>(K34+K37)/2</f>
        <v/>
      </c>
      <c r="L38" s="40">
        <f>(L34+L37)/2</f>
        <v/>
      </c>
      <c r="M38" s="40">
        <f>(M34+M37)/2</f>
        <v/>
      </c>
      <c r="N38" s="40">
        <f>(N34+N37)/2</f>
        <v/>
      </c>
      <c r="O38" s="40">
        <f>(O34+O37)/2</f>
        <v/>
      </c>
      <c r="P38" s="40">
        <f>(P34+P37)/2</f>
        <v/>
      </c>
      <c r="Q38" s="40">
        <f>(Q34+Q37)/2</f>
        <v/>
      </c>
      <c r="R38" s="40">
        <f>(R34+R37)/2</f>
        <v/>
      </c>
      <c r="S38" s="40">
        <f>(S34+S37)/2</f>
        <v/>
      </c>
      <c r="T38" s="40">
        <f>(T34+T37)/2</f>
        <v/>
      </c>
      <c r="U38" s="40">
        <f>(U34+U37)/2</f>
        <v/>
      </c>
      <c r="V38" s="40">
        <f>(V34+V37)/2</f>
        <v/>
      </c>
      <c r="W38" s="40">
        <f>(W34+W37)/2</f>
        <v/>
      </c>
      <c r="X38" s="40">
        <f>(X34+X37)/2</f>
        <v/>
      </c>
      <c r="Y38" s="40">
        <f>(Y34+Y37)/2</f>
        <v/>
      </c>
    </row>
    <row r="39" ht="18" customHeight="1" s="10">
      <c r="A39" s="87" t="inlineStr">
        <is>
          <t>Salary Expense</t>
        </is>
      </c>
      <c r="B39" s="38">
        <f>B38*Assumptions!$F$36/12*(1+Assumptions!$F$21)</f>
        <v/>
      </c>
      <c r="C39" s="38">
        <f>C38*Assumptions!$F$36/12*(1+Assumptions!$F$21)</f>
        <v/>
      </c>
      <c r="D39" s="38">
        <f>D38*Assumptions!$F$36/12*(1+Assumptions!$F$21)</f>
        <v/>
      </c>
      <c r="E39" s="38">
        <f>E38*Assumptions!$F$36/12*(1+Assumptions!$F$21)</f>
        <v/>
      </c>
      <c r="F39" s="38">
        <f>F38*Assumptions!$F$36/12*(1+Assumptions!$F$21)</f>
        <v/>
      </c>
      <c r="G39" s="38">
        <f>G38*Assumptions!$F$36/12*(1+Assumptions!$F$21)</f>
        <v/>
      </c>
      <c r="H39" s="38">
        <f>H38*Assumptions!$F$36/12*(1+Assumptions!$F$21)</f>
        <v/>
      </c>
      <c r="I39" s="38">
        <f>I38*Assumptions!$F$36/12*(1+Assumptions!$F$21)</f>
        <v/>
      </c>
      <c r="J39" s="38">
        <f>J38*Assumptions!$F$36/12*(1+Assumptions!$F$21)</f>
        <v/>
      </c>
      <c r="K39" s="38">
        <f>K38*Assumptions!$F$36/12*(1+Assumptions!$F$21)</f>
        <v/>
      </c>
      <c r="L39" s="38">
        <f>L38*Assumptions!$F$36/12*(1+Assumptions!$F$21)</f>
        <v/>
      </c>
      <c r="M39" s="38">
        <f>M38*Assumptions!$F$36/12*(1+Assumptions!$F$21)</f>
        <v/>
      </c>
      <c r="N39" s="38">
        <f>N38*Assumptions!$F$36/12*(1+Assumptions!$F$21)</f>
        <v/>
      </c>
      <c r="O39" s="38">
        <f>O38*Assumptions!$F$36/12*(1+Assumptions!$F$21)</f>
        <v/>
      </c>
      <c r="P39" s="38">
        <f>P38*Assumptions!$F$36/12*(1+Assumptions!$F$21)</f>
        <v/>
      </c>
      <c r="Q39" s="38">
        <f>Q38*Assumptions!$F$36/12*(1+Assumptions!$F$21)</f>
        <v/>
      </c>
      <c r="R39" s="38">
        <f>R38*Assumptions!$F$36/12*(1+Assumptions!$F$21)</f>
        <v/>
      </c>
      <c r="S39" s="38">
        <f>S38*Assumptions!$F$36/12*(1+Assumptions!$F$21)</f>
        <v/>
      </c>
      <c r="T39" s="38">
        <f>T38*Assumptions!$F$36/12*(1+Assumptions!$F$21)</f>
        <v/>
      </c>
      <c r="U39" s="38">
        <f>U38*Assumptions!$F$36/12*(1+Assumptions!$F$21)</f>
        <v/>
      </c>
      <c r="V39" s="38">
        <f>V38*Assumptions!$F$36/12*(1+Assumptions!$F$21)</f>
        <v/>
      </c>
      <c r="W39" s="38">
        <f>W38*Assumptions!$F$36/12*(1+Assumptions!$F$21)</f>
        <v/>
      </c>
      <c r="X39" s="38">
        <f>X38*Assumptions!$F$36/12*(1+Assumptions!$F$21)</f>
        <v/>
      </c>
      <c r="Y39" s="38">
        <f>Y38*Assumptions!$F$36/12*(1+Assumptions!$F$21)</f>
        <v/>
      </c>
    </row>
    <row r="40" ht="18" customHeight="1" s="10">
      <c r="A40" s="18" t="n"/>
    </row>
    <row r="41" ht="18" customHeight="1" s="10">
      <c r="A41" s="18" t="n"/>
    </row>
    <row r="42" ht="18" customHeight="1" s="10">
      <c r="A42" s="2" t="inlineStr">
        <is>
          <t>Customer Success</t>
        </is>
      </c>
      <c r="B42" s="145" t="n"/>
      <c r="C42" s="145" t="n"/>
      <c r="D42" s="145" t="n"/>
      <c r="E42" s="145" t="n"/>
      <c r="F42" s="145" t="n"/>
      <c r="G42" s="145" t="n"/>
      <c r="H42" s="145" t="n"/>
      <c r="I42" s="145" t="n"/>
      <c r="J42" s="145" t="n"/>
      <c r="K42" s="145" t="n"/>
      <c r="L42" s="145" t="n"/>
      <c r="M42" s="145" t="n"/>
      <c r="N42" s="145" t="n"/>
      <c r="O42" s="145" t="n"/>
      <c r="P42" s="145" t="n"/>
      <c r="Q42" s="145" t="n"/>
      <c r="R42" s="145" t="n"/>
      <c r="S42" s="145" t="n"/>
      <c r="T42" s="145" t="n"/>
      <c r="U42" s="145" t="n"/>
      <c r="V42" s="145" t="n"/>
      <c r="W42" s="145" t="n"/>
      <c r="X42" s="145" t="n"/>
      <c r="Y42" s="145" t="n"/>
    </row>
    <row r="43" ht="18" customHeight="1" s="10">
      <c r="A43" s="84" t="inlineStr">
        <is>
          <t>Opening HC</t>
        </is>
      </c>
      <c r="B43" s="40">
        <f>Assumptions!$F$32</f>
        <v/>
      </c>
      <c r="C43" s="40">
        <f>B46</f>
        <v/>
      </c>
      <c r="D43" s="40">
        <f>C46</f>
        <v/>
      </c>
      <c r="E43" s="40">
        <f>D46</f>
        <v/>
      </c>
      <c r="F43" s="40">
        <f>E46</f>
        <v/>
      </c>
      <c r="G43" s="40">
        <f>F46</f>
        <v/>
      </c>
      <c r="H43" s="40">
        <f>G46</f>
        <v/>
      </c>
      <c r="I43" s="40">
        <f>H46</f>
        <v/>
      </c>
      <c r="J43" s="40">
        <f>I46</f>
        <v/>
      </c>
      <c r="K43" s="40">
        <f>J46</f>
        <v/>
      </c>
      <c r="L43" s="40">
        <f>K46</f>
        <v/>
      </c>
      <c r="M43" s="40">
        <f>L46</f>
        <v/>
      </c>
      <c r="N43" s="40">
        <f>M46</f>
        <v/>
      </c>
      <c r="O43" s="40">
        <f>N46</f>
        <v/>
      </c>
      <c r="P43" s="40">
        <f>O46</f>
        <v/>
      </c>
      <c r="Q43" s="40">
        <f>P46</f>
        <v/>
      </c>
      <c r="R43" s="40">
        <f>Q46</f>
        <v/>
      </c>
      <c r="S43" s="40">
        <f>R46</f>
        <v/>
      </c>
      <c r="T43" s="40">
        <f>S46</f>
        <v/>
      </c>
      <c r="U43" s="40">
        <f>T46</f>
        <v/>
      </c>
      <c r="V43" s="40">
        <f>U46</f>
        <v/>
      </c>
      <c r="W43" s="40">
        <f>V46</f>
        <v/>
      </c>
      <c r="X43" s="40">
        <f>W46</f>
        <v/>
      </c>
      <c r="Y43" s="40">
        <f>X46</f>
        <v/>
      </c>
    </row>
    <row r="44" ht="18" customHeight="1" s="10">
      <c r="A44" s="84" t="inlineStr">
        <is>
          <t>Hires</t>
        </is>
      </c>
      <c r="B44" s="79">
        <f>Data_Entry!B60</f>
        <v/>
      </c>
      <c r="C44" s="79">
        <f>Data_Entry!C60</f>
        <v/>
      </c>
      <c r="D44" s="79">
        <f>Data_Entry!D60</f>
        <v/>
      </c>
      <c r="E44" s="79">
        <f>Data_Entry!E60</f>
        <v/>
      </c>
      <c r="F44" s="79">
        <f>Data_Entry!F60</f>
        <v/>
      </c>
      <c r="G44" s="79">
        <f>Data_Entry!G60</f>
        <v/>
      </c>
      <c r="H44" s="79">
        <f>Data_Entry!H60</f>
        <v/>
      </c>
      <c r="I44" s="79">
        <f>Data_Entry!I60</f>
        <v/>
      </c>
      <c r="J44" s="79">
        <f>Data_Entry!J60</f>
        <v/>
      </c>
      <c r="K44" s="79">
        <f>Data_Entry!K60</f>
        <v/>
      </c>
      <c r="L44" s="79">
        <f>Data_Entry!L60</f>
        <v/>
      </c>
      <c r="M44" s="79">
        <f>Data_Entry!M60</f>
        <v/>
      </c>
      <c r="N44" s="79">
        <f>Data_Entry!N60</f>
        <v/>
      </c>
      <c r="O44" s="79">
        <f>Data_Entry!O60</f>
        <v/>
      </c>
      <c r="P44" s="79">
        <f>Data_Entry!P60</f>
        <v/>
      </c>
      <c r="Q44" s="79">
        <f>Data_Entry!Q60</f>
        <v/>
      </c>
      <c r="R44" s="79">
        <f>Data_Entry!R60</f>
        <v/>
      </c>
      <c r="S44" s="79">
        <f>Data_Entry!S60</f>
        <v/>
      </c>
      <c r="T44" s="79">
        <f>Data_Entry!T60</f>
        <v/>
      </c>
      <c r="U44" s="79">
        <f>Data_Entry!U60</f>
        <v/>
      </c>
      <c r="V44" s="79">
        <f>Data_Entry!V60</f>
        <v/>
      </c>
      <c r="W44" s="79">
        <f>Data_Entry!W60</f>
        <v/>
      </c>
      <c r="X44" s="79">
        <f>Data_Entry!X60</f>
        <v/>
      </c>
      <c r="Y44" s="79">
        <f>Data_Entry!Y60</f>
        <v/>
      </c>
    </row>
    <row r="45" ht="18" customHeight="1" s="10">
      <c r="A45" s="84" t="inlineStr">
        <is>
          <t>Terms</t>
        </is>
      </c>
      <c r="B45" s="79">
        <f>Data_Entry!B61</f>
        <v/>
      </c>
      <c r="C45" s="79">
        <f>Data_Entry!C61</f>
        <v/>
      </c>
      <c r="D45" s="79">
        <f>Data_Entry!D61</f>
        <v/>
      </c>
      <c r="E45" s="79">
        <f>Data_Entry!E61</f>
        <v/>
      </c>
      <c r="F45" s="79">
        <f>Data_Entry!F61</f>
        <v/>
      </c>
      <c r="G45" s="79">
        <f>Data_Entry!G61</f>
        <v/>
      </c>
      <c r="H45" s="79">
        <f>Data_Entry!H61</f>
        <v/>
      </c>
      <c r="I45" s="79">
        <f>Data_Entry!I61</f>
        <v/>
      </c>
      <c r="J45" s="79">
        <f>Data_Entry!J61</f>
        <v/>
      </c>
      <c r="K45" s="79">
        <f>Data_Entry!K61</f>
        <v/>
      </c>
      <c r="L45" s="79">
        <f>Data_Entry!L61</f>
        <v/>
      </c>
      <c r="M45" s="79">
        <f>Data_Entry!M61</f>
        <v/>
      </c>
      <c r="N45" s="79">
        <f>Data_Entry!N61</f>
        <v/>
      </c>
      <c r="O45" s="79">
        <f>Data_Entry!O61</f>
        <v/>
      </c>
      <c r="P45" s="79">
        <f>Data_Entry!P61</f>
        <v/>
      </c>
      <c r="Q45" s="79">
        <f>Data_Entry!Q61</f>
        <v/>
      </c>
      <c r="R45" s="79">
        <f>Data_Entry!R61</f>
        <v/>
      </c>
      <c r="S45" s="79">
        <f>Data_Entry!S61</f>
        <v/>
      </c>
      <c r="T45" s="79">
        <f>Data_Entry!T61</f>
        <v/>
      </c>
      <c r="U45" s="79">
        <f>Data_Entry!U61</f>
        <v/>
      </c>
      <c r="V45" s="79">
        <f>Data_Entry!V61</f>
        <v/>
      </c>
      <c r="W45" s="79">
        <f>Data_Entry!W61</f>
        <v/>
      </c>
      <c r="X45" s="79">
        <f>Data_Entry!X61</f>
        <v/>
      </c>
      <c r="Y45" s="79">
        <f>Data_Entry!Y61</f>
        <v/>
      </c>
    </row>
    <row r="46" ht="18" customHeight="1" s="10">
      <c r="A46" s="87" t="inlineStr">
        <is>
          <t>Ending HC</t>
        </is>
      </c>
      <c r="B46" s="40">
        <f>B43+B44-B45</f>
        <v/>
      </c>
      <c r="C46" s="40">
        <f>C43+C44-C45</f>
        <v/>
      </c>
      <c r="D46" s="40">
        <f>D43+D44-D45</f>
        <v/>
      </c>
      <c r="E46" s="40">
        <f>E43+E44-E45</f>
        <v/>
      </c>
      <c r="F46" s="40">
        <f>F43+F44-F45</f>
        <v/>
      </c>
      <c r="G46" s="40">
        <f>G43+G44-G45</f>
        <v/>
      </c>
      <c r="H46" s="40">
        <f>H43+H44-H45</f>
        <v/>
      </c>
      <c r="I46" s="40">
        <f>I43+I44-I45</f>
        <v/>
      </c>
      <c r="J46" s="40">
        <f>J43+J44-J45</f>
        <v/>
      </c>
      <c r="K46" s="40">
        <f>K43+K44-K45</f>
        <v/>
      </c>
      <c r="L46" s="40">
        <f>L43+L44-L45</f>
        <v/>
      </c>
      <c r="M46" s="40">
        <f>M43+M44-M45</f>
        <v/>
      </c>
      <c r="N46" s="40">
        <f>N43+N44-N45</f>
        <v/>
      </c>
      <c r="O46" s="40">
        <f>O43+O44-O45</f>
        <v/>
      </c>
      <c r="P46" s="40">
        <f>P43+P44-P45</f>
        <v/>
      </c>
      <c r="Q46" s="40">
        <f>Q43+Q44-Q45</f>
        <v/>
      </c>
      <c r="R46" s="40">
        <f>R43+R44-R45</f>
        <v/>
      </c>
      <c r="S46" s="40">
        <f>S43+S44-S45</f>
        <v/>
      </c>
      <c r="T46" s="40">
        <f>T43+T44-T45</f>
        <v/>
      </c>
      <c r="U46" s="40">
        <f>U43+U44-U45</f>
        <v/>
      </c>
      <c r="V46" s="40">
        <f>V43+V44-V45</f>
        <v/>
      </c>
      <c r="W46" s="40">
        <f>W43+W44-W45</f>
        <v/>
      </c>
      <c r="X46" s="40">
        <f>X43+X44-X45</f>
        <v/>
      </c>
      <c r="Y46" s="40">
        <f>Y43+Y44-Y45</f>
        <v/>
      </c>
    </row>
    <row r="47" ht="18" customHeight="1" s="10">
      <c r="A47" s="84" t="inlineStr">
        <is>
          <t>Average HC</t>
        </is>
      </c>
      <c r="B47" s="40">
        <f>(B43+B46)/2</f>
        <v/>
      </c>
      <c r="C47" s="40">
        <f>(C43+C46)/2</f>
        <v/>
      </c>
      <c r="D47" s="40">
        <f>(D43+D46)/2</f>
        <v/>
      </c>
      <c r="E47" s="40">
        <f>(E43+E46)/2</f>
        <v/>
      </c>
      <c r="F47" s="40">
        <f>(F43+F46)/2</f>
        <v/>
      </c>
      <c r="G47" s="40">
        <f>(G43+G46)/2</f>
        <v/>
      </c>
      <c r="H47" s="40">
        <f>(H43+H46)/2</f>
        <v/>
      </c>
      <c r="I47" s="40">
        <f>(I43+I46)/2</f>
        <v/>
      </c>
      <c r="J47" s="40">
        <f>(J43+J46)/2</f>
        <v/>
      </c>
      <c r="K47" s="40">
        <f>(K43+K46)/2</f>
        <v/>
      </c>
      <c r="L47" s="40">
        <f>(L43+L46)/2</f>
        <v/>
      </c>
      <c r="M47" s="40">
        <f>(M43+M46)/2</f>
        <v/>
      </c>
      <c r="N47" s="40">
        <f>(N43+N46)/2</f>
        <v/>
      </c>
      <c r="O47" s="40">
        <f>(O43+O46)/2</f>
        <v/>
      </c>
      <c r="P47" s="40">
        <f>(P43+P46)/2</f>
        <v/>
      </c>
      <c r="Q47" s="40">
        <f>(Q43+Q46)/2</f>
        <v/>
      </c>
      <c r="R47" s="40">
        <f>(R43+R46)/2</f>
        <v/>
      </c>
      <c r="S47" s="40">
        <f>(S43+S46)/2</f>
        <v/>
      </c>
      <c r="T47" s="40">
        <f>(T43+T46)/2</f>
        <v/>
      </c>
      <c r="U47" s="40">
        <f>(U43+U46)/2</f>
        <v/>
      </c>
      <c r="V47" s="40">
        <f>(V43+V46)/2</f>
        <v/>
      </c>
      <c r="W47" s="40">
        <f>(W43+W46)/2</f>
        <v/>
      </c>
      <c r="X47" s="40">
        <f>(X43+X46)/2</f>
        <v/>
      </c>
      <c r="Y47" s="40">
        <f>(Y43+Y46)/2</f>
        <v/>
      </c>
    </row>
    <row r="48" ht="18" customHeight="1" s="10">
      <c r="A48" s="87" t="inlineStr">
        <is>
          <t>Salary Expense</t>
        </is>
      </c>
      <c r="B48" s="38">
        <f>B47*Assumptions!$F$37/12*(1+Assumptions!$F$21)</f>
        <v/>
      </c>
      <c r="C48" s="38">
        <f>C47*Assumptions!$F$37/12*(1+Assumptions!$F$21)</f>
        <v/>
      </c>
      <c r="D48" s="38">
        <f>D47*Assumptions!$F$37/12*(1+Assumptions!$F$21)</f>
        <v/>
      </c>
      <c r="E48" s="38">
        <f>E47*Assumptions!$F$37/12*(1+Assumptions!$F$21)</f>
        <v/>
      </c>
      <c r="F48" s="38">
        <f>F47*Assumptions!$F$37/12*(1+Assumptions!$F$21)</f>
        <v/>
      </c>
      <c r="G48" s="38">
        <f>G47*Assumptions!$F$37/12*(1+Assumptions!$F$21)</f>
        <v/>
      </c>
      <c r="H48" s="38">
        <f>H47*Assumptions!$F$37/12*(1+Assumptions!$F$21)</f>
        <v/>
      </c>
      <c r="I48" s="38">
        <f>I47*Assumptions!$F$37/12*(1+Assumptions!$F$21)</f>
        <v/>
      </c>
      <c r="J48" s="38">
        <f>J47*Assumptions!$F$37/12*(1+Assumptions!$F$21)</f>
        <v/>
      </c>
      <c r="K48" s="38">
        <f>K47*Assumptions!$F$37/12*(1+Assumptions!$F$21)</f>
        <v/>
      </c>
      <c r="L48" s="38">
        <f>L47*Assumptions!$F$37/12*(1+Assumptions!$F$21)</f>
        <v/>
      </c>
      <c r="M48" s="38">
        <f>M47*Assumptions!$F$37/12*(1+Assumptions!$F$21)</f>
        <v/>
      </c>
      <c r="N48" s="38">
        <f>N47*Assumptions!$F$37/12*(1+Assumptions!$F$21)</f>
        <v/>
      </c>
      <c r="O48" s="38">
        <f>O47*Assumptions!$F$37/12*(1+Assumptions!$F$21)</f>
        <v/>
      </c>
      <c r="P48" s="38">
        <f>P47*Assumptions!$F$37/12*(1+Assumptions!$F$21)</f>
        <v/>
      </c>
      <c r="Q48" s="38">
        <f>Q47*Assumptions!$F$37/12*(1+Assumptions!$F$21)</f>
        <v/>
      </c>
      <c r="R48" s="38">
        <f>R47*Assumptions!$F$37/12*(1+Assumptions!$F$21)</f>
        <v/>
      </c>
      <c r="S48" s="38">
        <f>S47*Assumptions!$F$37/12*(1+Assumptions!$F$21)</f>
        <v/>
      </c>
      <c r="T48" s="38">
        <f>T47*Assumptions!$F$37/12*(1+Assumptions!$F$21)</f>
        <v/>
      </c>
      <c r="U48" s="38">
        <f>U47*Assumptions!$F$37/12*(1+Assumptions!$F$21)</f>
        <v/>
      </c>
      <c r="V48" s="38">
        <f>V47*Assumptions!$F$37/12*(1+Assumptions!$F$21)</f>
        <v/>
      </c>
      <c r="W48" s="38">
        <f>W47*Assumptions!$F$37/12*(1+Assumptions!$F$21)</f>
        <v/>
      </c>
      <c r="X48" s="38">
        <f>X47*Assumptions!$F$37/12*(1+Assumptions!$F$21)</f>
        <v/>
      </c>
      <c r="Y48" s="38">
        <f>Y47*Assumptions!$F$37/12*(1+Assumptions!$F$21)</f>
        <v/>
      </c>
    </row>
    <row r="49" ht="18" customHeight="1" s="10">
      <c r="A49" s="18" t="n"/>
    </row>
    <row r="50" ht="18" customHeight="1" s="10">
      <c r="A50" s="18" t="n"/>
    </row>
    <row r="51" ht="18" customHeight="1" s="10">
      <c r="A51" s="2" t="inlineStr">
        <is>
          <t>Headcount Summary</t>
        </is>
      </c>
      <c r="B51" s="145" t="n"/>
      <c r="C51" s="145" t="n"/>
      <c r="D51" s="145" t="n"/>
      <c r="E51" s="145" t="n"/>
      <c r="F51" s="145" t="n"/>
      <c r="G51" s="145" t="n"/>
      <c r="H51" s="145" t="n"/>
      <c r="I51" s="145" t="n"/>
      <c r="J51" s="145" t="n"/>
      <c r="K51" s="145" t="n"/>
      <c r="L51" s="145" t="n"/>
      <c r="M51" s="145" t="n"/>
      <c r="N51" s="145" t="n"/>
      <c r="O51" s="145" t="n"/>
      <c r="P51" s="145" t="n"/>
      <c r="Q51" s="145" t="n"/>
      <c r="R51" s="145" t="n"/>
      <c r="S51" s="145" t="n"/>
      <c r="T51" s="145" t="n"/>
      <c r="U51" s="145" t="n"/>
      <c r="V51" s="145" t="n"/>
      <c r="W51" s="145" t="n"/>
      <c r="X51" s="145" t="n"/>
      <c r="Y51" s="145" t="n"/>
    </row>
    <row r="52" ht="18" customHeight="1" s="10">
      <c r="A52" s="87" t="inlineStr">
        <is>
          <t>Total Ending HC</t>
        </is>
      </c>
      <c r="B52" s="63">
        <f>B10+B19+B28+B37+B46</f>
        <v/>
      </c>
      <c r="C52" s="63">
        <f>C10+C19+C28+C37+C46</f>
        <v/>
      </c>
      <c r="D52" s="63">
        <f>D10+D19+D28+D37+D46</f>
        <v/>
      </c>
      <c r="E52" s="63">
        <f>E10+E19+E28+E37+E46</f>
        <v/>
      </c>
      <c r="F52" s="63">
        <f>F10+F19+F28+F37+F46</f>
        <v/>
      </c>
      <c r="G52" s="63">
        <f>G10+G19+G28+G37+G46</f>
        <v/>
      </c>
      <c r="H52" s="63">
        <f>H10+H19+H28+H37+H46</f>
        <v/>
      </c>
      <c r="I52" s="63">
        <f>I10+I19+I28+I37+I46</f>
        <v/>
      </c>
      <c r="J52" s="63">
        <f>J10+J19+J28+J37+J46</f>
        <v/>
      </c>
      <c r="K52" s="63">
        <f>K10+K19+K28+K37+K46</f>
        <v/>
      </c>
      <c r="L52" s="63">
        <f>L10+L19+L28+L37+L46</f>
        <v/>
      </c>
      <c r="M52" s="63">
        <f>M10+M19+M28+M37+M46</f>
        <v/>
      </c>
      <c r="N52" s="63">
        <f>N10+N19+N28+N37+N46</f>
        <v/>
      </c>
      <c r="O52" s="63">
        <f>O10+O19+O28+O37+O46</f>
        <v/>
      </c>
      <c r="P52" s="63">
        <f>P10+P19+P28+P37+P46</f>
        <v/>
      </c>
      <c r="Q52" s="63">
        <f>Q10+Q19+Q28+Q37+Q46</f>
        <v/>
      </c>
      <c r="R52" s="63">
        <f>R10+R19+R28+R37+R46</f>
        <v/>
      </c>
      <c r="S52" s="63">
        <f>S10+S19+S28+S37+S46</f>
        <v/>
      </c>
      <c r="T52" s="63">
        <f>T10+T19+T28+T37+T46</f>
        <v/>
      </c>
      <c r="U52" s="63">
        <f>U10+U19+U28+U37+U46</f>
        <v/>
      </c>
      <c r="V52" s="63">
        <f>V10+V19+V28+V37+V46</f>
        <v/>
      </c>
      <c r="W52" s="63">
        <f>W10+W19+W28+W37+W46</f>
        <v/>
      </c>
      <c r="X52" s="63">
        <f>X10+X19+X28+X37+X46</f>
        <v/>
      </c>
      <c r="Y52" s="63">
        <f>Y10+Y19+Y28+Y37+Y46</f>
        <v/>
      </c>
    </row>
    <row r="53" ht="18" customHeight="1" s="10">
      <c r="A53" s="87" t="inlineStr">
        <is>
          <t>Total Payroll Expense</t>
        </is>
      </c>
      <c r="B53" s="61">
        <f>B12+B21+B30+B39+B48</f>
        <v/>
      </c>
      <c r="C53" s="61">
        <f>C12+C21+C30+C39+C48</f>
        <v/>
      </c>
      <c r="D53" s="61">
        <f>D12+D21+D30+D39+D48</f>
        <v/>
      </c>
      <c r="E53" s="61">
        <f>E12+E21+E30+E39+E48</f>
        <v/>
      </c>
      <c r="F53" s="61">
        <f>F12+F21+F30+F39+F48</f>
        <v/>
      </c>
      <c r="G53" s="61">
        <f>G12+G21+G30+G39+G48</f>
        <v/>
      </c>
      <c r="H53" s="61">
        <f>H12+H21+H30+H39+H48</f>
        <v/>
      </c>
      <c r="I53" s="61">
        <f>I12+I21+I30+I39+I48</f>
        <v/>
      </c>
      <c r="J53" s="61">
        <f>J12+J21+J30+J39+J48</f>
        <v/>
      </c>
      <c r="K53" s="61">
        <f>K12+K21+K30+K39+K48</f>
        <v/>
      </c>
      <c r="L53" s="61">
        <f>L12+L21+L30+L39+L48</f>
        <v/>
      </c>
      <c r="M53" s="61">
        <f>M12+M21+M30+M39+M48</f>
        <v/>
      </c>
      <c r="N53" s="61">
        <f>N12+N21+N30+N39+N48</f>
        <v/>
      </c>
      <c r="O53" s="61">
        <f>O12+O21+O30+O39+O48</f>
        <v/>
      </c>
      <c r="P53" s="61">
        <f>P12+P21+P30+P39+P48</f>
        <v/>
      </c>
      <c r="Q53" s="61">
        <f>Q12+Q21+Q30+Q39+Q48</f>
        <v/>
      </c>
      <c r="R53" s="61">
        <f>R12+R21+R30+R39+R48</f>
        <v/>
      </c>
      <c r="S53" s="61">
        <f>S12+S21+S30+S39+S48</f>
        <v/>
      </c>
      <c r="T53" s="61">
        <f>T12+T21+T30+T39+T48</f>
        <v/>
      </c>
      <c r="U53" s="61">
        <f>U12+U21+U30+U39+U48</f>
        <v/>
      </c>
      <c r="V53" s="61">
        <f>V12+V21+V30+V39+V48</f>
        <v/>
      </c>
      <c r="W53" s="61">
        <f>W12+W21+W30+W39+W48</f>
        <v/>
      </c>
      <c r="X53" s="61">
        <f>X12+X21+X30+X39+X48</f>
        <v/>
      </c>
      <c r="Y53" s="61">
        <f>Y12+Y21+Y30+Y39+Y48</f>
        <v/>
      </c>
    </row>
    <row r="54" ht="18" customHeight="1" s="10"/>
    <row r="55" ht="18" customHeight="1" s="10"/>
    <row r="56" ht="18" customHeight="1" s="10"/>
    <row r="57" ht="18" customHeight="1" s="10"/>
    <row r="58" ht="18" customHeight="1" s="10"/>
    <row r="59" ht="18" customHeight="1" s="10"/>
    <row r="60" ht="18" customHeight="1" s="10"/>
    <row r="61" ht="18" customHeight="1" s="10"/>
    <row r="62" ht="18" customHeight="1" s="10"/>
    <row r="63" ht="18" customHeight="1" s="10"/>
    <row r="64" ht="18" customHeight="1" s="10"/>
    <row r="65" ht="18" customHeight="1" s="10"/>
    <row r="66" ht="18" customHeight="1" s="10"/>
    <row r="67" ht="18" customHeight="1" s="10"/>
    <row r="68" ht="18" customHeight="1" s="10"/>
    <row r="69" ht="18" customHeight="1" s="10"/>
    <row r="70" ht="18" customHeight="1" s="10"/>
    <row r="71" ht="18" customHeight="1" s="10"/>
    <row r="72" ht="18" customHeight="1" s="10"/>
    <row r="73" ht="18" customHeight="1" s="10"/>
    <row r="74" ht="18" customHeight="1" s="10"/>
    <row r="75" ht="18" customHeight="1" s="10"/>
    <row r="76" ht="18" customHeight="1" s="10"/>
    <row r="77" ht="18" customHeight="1" s="10"/>
    <row r="78" ht="18" customHeight="1" s="10"/>
    <row r="79" ht="18" customHeight="1" s="10"/>
  </sheetData>
  <mergeCells count="7">
    <mergeCell ref="A24:Y24"/>
    <mergeCell ref="A33:Y33"/>
    <mergeCell ref="A51:Y51"/>
    <mergeCell ref="A42:Y42"/>
    <mergeCell ref="A6:Y6"/>
    <mergeCell ref="A3:Y3"/>
    <mergeCell ref="A15:Y15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2"/>
  <sheetViews>
    <sheetView showGridLines="0" zoomScaleNormal="100" workbookViewId="0">
      <selection activeCell="A1" sqref="A1"/>
    </sheetView>
  </sheetViews>
  <sheetFormatPr baseColWidth="8" defaultColWidth="8.7109375" defaultRowHeight="12.75"/>
  <cols>
    <col width="26" customWidth="1" style="10" min="1" max="1"/>
    <col width="12" customWidth="1" style="10" min="2" max="25"/>
  </cols>
  <sheetData>
    <row r="1" ht="24" customHeight="1" s="10">
      <c r="A1" s="16" t="inlineStr">
        <is>
          <t>Operating Expense Schedule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</row>
    <row r="2" ht="18" customHeight="1" s="10">
      <c r="A2" s="17" t="inlineStr">
        <is>
          <t>Payroll linked from Headcount; other opex driven by assumptions and revenue.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</row>
    <row r="3" ht="18" customHeight="1" s="10">
      <c r="A3" s="3" t="inlineStr">
        <is>
          <t>Monthly Opex</t>
        </is>
      </c>
      <c r="B3" s="145" t="n"/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5" t="n"/>
      <c r="R3" s="145" t="n"/>
      <c r="S3" s="145" t="n"/>
      <c r="T3" s="145" t="n"/>
      <c r="U3" s="145" t="n"/>
      <c r="V3" s="145" t="n"/>
      <c r="W3" s="145" t="n"/>
      <c r="X3" s="145" t="n"/>
      <c r="Y3" s="145" t="n"/>
    </row>
    <row r="4" ht="18" customHeight="1" s="10">
      <c r="A4" s="82" t="n"/>
      <c r="B4" s="83">
        <f>Assumptions!$F$6</f>
        <v/>
      </c>
      <c r="C4" s="83">
        <f>DATE(YEAR(B4),MONTH(B4)+1,1)</f>
        <v/>
      </c>
      <c r="D4" s="83">
        <f>DATE(YEAR(C4),MONTH(C4)+1,1)</f>
        <v/>
      </c>
      <c r="E4" s="83">
        <f>DATE(YEAR(D4),MONTH(D4)+1,1)</f>
        <v/>
      </c>
      <c r="F4" s="83">
        <f>DATE(YEAR(E4),MONTH(E4)+1,1)</f>
        <v/>
      </c>
      <c r="G4" s="83">
        <f>DATE(YEAR(F4),MONTH(F4)+1,1)</f>
        <v/>
      </c>
      <c r="H4" s="83">
        <f>DATE(YEAR(G4),MONTH(G4)+1,1)</f>
        <v/>
      </c>
      <c r="I4" s="83">
        <f>DATE(YEAR(H4),MONTH(H4)+1,1)</f>
        <v/>
      </c>
      <c r="J4" s="83">
        <f>DATE(YEAR(I4),MONTH(I4)+1,1)</f>
        <v/>
      </c>
      <c r="K4" s="83">
        <f>DATE(YEAR(J4),MONTH(J4)+1,1)</f>
        <v/>
      </c>
      <c r="L4" s="83">
        <f>DATE(YEAR(K4),MONTH(K4)+1,1)</f>
        <v/>
      </c>
      <c r="M4" s="83">
        <f>DATE(YEAR(L4),MONTH(L4)+1,1)</f>
        <v/>
      </c>
      <c r="N4" s="83">
        <f>DATE(YEAR(M4),MONTH(M4)+1,1)</f>
        <v/>
      </c>
      <c r="O4" s="83">
        <f>DATE(YEAR(N4),MONTH(N4)+1,1)</f>
        <v/>
      </c>
      <c r="P4" s="83">
        <f>DATE(YEAR(O4),MONTH(O4)+1,1)</f>
        <v/>
      </c>
      <c r="Q4" s="83">
        <f>DATE(YEAR(P4),MONTH(P4)+1,1)</f>
        <v/>
      </c>
      <c r="R4" s="83">
        <f>DATE(YEAR(Q4),MONTH(Q4)+1,1)</f>
        <v/>
      </c>
      <c r="S4" s="83">
        <f>DATE(YEAR(R4),MONTH(R4)+1,1)</f>
        <v/>
      </c>
      <c r="T4" s="83">
        <f>DATE(YEAR(S4),MONTH(S4)+1,1)</f>
        <v/>
      </c>
      <c r="U4" s="83">
        <f>DATE(YEAR(T4),MONTH(T4)+1,1)</f>
        <v/>
      </c>
      <c r="V4" s="83">
        <f>DATE(YEAR(U4),MONTH(U4)+1,1)</f>
        <v/>
      </c>
      <c r="W4" s="83">
        <f>DATE(YEAR(V4),MONTH(V4)+1,1)</f>
        <v/>
      </c>
      <c r="X4" s="83">
        <f>DATE(YEAR(W4),MONTH(W4)+1,1)</f>
        <v/>
      </c>
      <c r="Y4" s="83">
        <f>DATE(YEAR(X4),MONTH(X4)+1,1)</f>
        <v/>
      </c>
    </row>
    <row r="5" ht="18" customHeight="1" s="10">
      <c r="A5" s="18" t="n"/>
    </row>
    <row r="6" ht="18" customHeight="1" s="10">
      <c r="A6" s="84" t="inlineStr">
        <is>
          <t>Payroll Expense</t>
        </is>
      </c>
      <c r="B6" s="78">
        <f>Headcount!B53</f>
        <v/>
      </c>
      <c r="C6" s="78">
        <f>Headcount!C53</f>
        <v/>
      </c>
      <c r="D6" s="78">
        <f>Headcount!D53</f>
        <v/>
      </c>
      <c r="E6" s="78">
        <f>Headcount!E53</f>
        <v/>
      </c>
      <c r="F6" s="78">
        <f>Headcount!F53</f>
        <v/>
      </c>
      <c r="G6" s="78">
        <f>Headcount!G53</f>
        <v/>
      </c>
      <c r="H6" s="78">
        <f>Headcount!H53</f>
        <v/>
      </c>
      <c r="I6" s="78">
        <f>Headcount!I53</f>
        <v/>
      </c>
      <c r="J6" s="78">
        <f>Headcount!J53</f>
        <v/>
      </c>
      <c r="K6" s="78">
        <f>Headcount!K53</f>
        <v/>
      </c>
      <c r="L6" s="78">
        <f>Headcount!L53</f>
        <v/>
      </c>
      <c r="M6" s="78">
        <f>Headcount!M53</f>
        <v/>
      </c>
      <c r="N6" s="78">
        <f>Headcount!N53</f>
        <v/>
      </c>
      <c r="O6" s="78">
        <f>Headcount!O53</f>
        <v/>
      </c>
      <c r="P6" s="78">
        <f>Headcount!P53</f>
        <v/>
      </c>
      <c r="Q6" s="78">
        <f>Headcount!Q53</f>
        <v/>
      </c>
      <c r="R6" s="78">
        <f>Headcount!R53</f>
        <v/>
      </c>
      <c r="S6" s="78">
        <f>Headcount!S53</f>
        <v/>
      </c>
      <c r="T6" s="78">
        <f>Headcount!T53</f>
        <v/>
      </c>
      <c r="U6" s="78">
        <f>Headcount!U53</f>
        <v/>
      </c>
      <c r="V6" s="78">
        <f>Headcount!V53</f>
        <v/>
      </c>
      <c r="W6" s="78">
        <f>Headcount!W53</f>
        <v/>
      </c>
      <c r="X6" s="78">
        <f>Headcount!X53</f>
        <v/>
      </c>
      <c r="Y6" s="78">
        <f>Headcount!Y53</f>
        <v/>
      </c>
    </row>
    <row r="7" ht="18" customHeight="1" s="10">
      <c r="A7" s="84" t="inlineStr">
        <is>
          <t>Marketing Programs</t>
        </is>
      </c>
      <c r="B7" s="38">
        <f>Revenue!B15*Assumptions!$F$38</f>
        <v/>
      </c>
      <c r="C7" s="38">
        <f>Revenue!C15*Assumptions!$F$38</f>
        <v/>
      </c>
      <c r="D7" s="38">
        <f>Revenue!D15*Assumptions!$F$38</f>
        <v/>
      </c>
      <c r="E7" s="38">
        <f>Revenue!E15*Assumptions!$F$38</f>
        <v/>
      </c>
      <c r="F7" s="38">
        <f>Revenue!F15*Assumptions!$F$38</f>
        <v/>
      </c>
      <c r="G7" s="38">
        <f>Revenue!G15*Assumptions!$F$38</f>
        <v/>
      </c>
      <c r="H7" s="38">
        <f>Revenue!H15*Assumptions!$F$38</f>
        <v/>
      </c>
      <c r="I7" s="38">
        <f>Revenue!I15*Assumptions!$F$38</f>
        <v/>
      </c>
      <c r="J7" s="38">
        <f>Revenue!J15*Assumptions!$F$38</f>
        <v/>
      </c>
      <c r="K7" s="38">
        <f>Revenue!K15*Assumptions!$F$38</f>
        <v/>
      </c>
      <c r="L7" s="38">
        <f>Revenue!L15*Assumptions!$F$38</f>
        <v/>
      </c>
      <c r="M7" s="38">
        <f>Revenue!M15*Assumptions!$F$38</f>
        <v/>
      </c>
      <c r="N7" s="38">
        <f>Revenue!N15*Assumptions!$F$38</f>
        <v/>
      </c>
      <c r="O7" s="38">
        <f>Revenue!O15*Assumptions!$F$38</f>
        <v/>
      </c>
      <c r="P7" s="38">
        <f>Revenue!P15*Assumptions!$F$38</f>
        <v/>
      </c>
      <c r="Q7" s="38">
        <f>Revenue!Q15*Assumptions!$F$38</f>
        <v/>
      </c>
      <c r="R7" s="38">
        <f>Revenue!R15*Assumptions!$F$38</f>
        <v/>
      </c>
      <c r="S7" s="38">
        <f>Revenue!S15*Assumptions!$F$38</f>
        <v/>
      </c>
      <c r="T7" s="38">
        <f>Revenue!T15*Assumptions!$F$38</f>
        <v/>
      </c>
      <c r="U7" s="38">
        <f>Revenue!U15*Assumptions!$F$38</f>
        <v/>
      </c>
      <c r="V7" s="38">
        <f>Revenue!V15*Assumptions!$F$38</f>
        <v/>
      </c>
      <c r="W7" s="38">
        <f>Revenue!W15*Assumptions!$F$38</f>
        <v/>
      </c>
      <c r="X7" s="38">
        <f>Revenue!X15*Assumptions!$F$38</f>
        <v/>
      </c>
      <c r="Y7" s="38">
        <f>Revenue!Y15*Assumptions!$F$38</f>
        <v/>
      </c>
    </row>
    <row r="8" ht="18" customHeight="1" s="10">
      <c r="A8" s="84" t="inlineStr">
        <is>
          <t>Software</t>
        </is>
      </c>
      <c r="B8" s="38">
        <f>Assumptions!$F$39</f>
        <v/>
      </c>
      <c r="C8" s="38">
        <f>Assumptions!$F$39</f>
        <v/>
      </c>
      <c r="D8" s="38">
        <f>Assumptions!$F$39</f>
        <v/>
      </c>
      <c r="E8" s="38">
        <f>Assumptions!$F$39</f>
        <v/>
      </c>
      <c r="F8" s="38">
        <f>Assumptions!$F$39</f>
        <v/>
      </c>
      <c r="G8" s="38">
        <f>Assumptions!$F$39</f>
        <v/>
      </c>
      <c r="H8" s="38">
        <f>Assumptions!$F$39</f>
        <v/>
      </c>
      <c r="I8" s="38">
        <f>Assumptions!$F$39</f>
        <v/>
      </c>
      <c r="J8" s="38">
        <f>Assumptions!$F$39</f>
        <v/>
      </c>
      <c r="K8" s="38">
        <f>Assumptions!$F$39</f>
        <v/>
      </c>
      <c r="L8" s="38">
        <f>Assumptions!$F$39</f>
        <v/>
      </c>
      <c r="M8" s="38">
        <f>Assumptions!$F$39</f>
        <v/>
      </c>
      <c r="N8" s="38">
        <f>Assumptions!$F$39</f>
        <v/>
      </c>
      <c r="O8" s="38">
        <f>Assumptions!$F$39</f>
        <v/>
      </c>
      <c r="P8" s="38">
        <f>Assumptions!$F$39</f>
        <v/>
      </c>
      <c r="Q8" s="38">
        <f>Assumptions!$F$39</f>
        <v/>
      </c>
      <c r="R8" s="38">
        <f>Assumptions!$F$39</f>
        <v/>
      </c>
      <c r="S8" s="38">
        <f>Assumptions!$F$39</f>
        <v/>
      </c>
      <c r="T8" s="38">
        <f>Assumptions!$F$39</f>
        <v/>
      </c>
      <c r="U8" s="38">
        <f>Assumptions!$F$39</f>
        <v/>
      </c>
      <c r="V8" s="38">
        <f>Assumptions!$F$39</f>
        <v/>
      </c>
      <c r="W8" s="38">
        <f>Assumptions!$F$39</f>
        <v/>
      </c>
      <c r="X8" s="38">
        <f>Assumptions!$F$39</f>
        <v/>
      </c>
      <c r="Y8" s="38">
        <f>Assumptions!$F$39</f>
        <v/>
      </c>
    </row>
    <row r="9" ht="18" customHeight="1" s="10">
      <c r="A9" s="84" t="inlineStr">
        <is>
          <t>Rent</t>
        </is>
      </c>
      <c r="B9" s="38">
        <f>Assumptions!$F$40</f>
        <v/>
      </c>
      <c r="C9" s="38">
        <f>Assumptions!$F$40</f>
        <v/>
      </c>
      <c r="D9" s="38">
        <f>Assumptions!$F$40</f>
        <v/>
      </c>
      <c r="E9" s="38">
        <f>Assumptions!$F$40</f>
        <v/>
      </c>
      <c r="F9" s="38">
        <f>Assumptions!$F$40</f>
        <v/>
      </c>
      <c r="G9" s="38">
        <f>Assumptions!$F$40</f>
        <v/>
      </c>
      <c r="H9" s="38">
        <f>Assumptions!$F$40</f>
        <v/>
      </c>
      <c r="I9" s="38">
        <f>Assumptions!$F$40</f>
        <v/>
      </c>
      <c r="J9" s="38">
        <f>Assumptions!$F$40</f>
        <v/>
      </c>
      <c r="K9" s="38">
        <f>Assumptions!$F$40</f>
        <v/>
      </c>
      <c r="L9" s="38">
        <f>Assumptions!$F$40</f>
        <v/>
      </c>
      <c r="M9" s="38">
        <f>Assumptions!$F$40</f>
        <v/>
      </c>
      <c r="N9" s="38">
        <f>Assumptions!$F$40</f>
        <v/>
      </c>
      <c r="O9" s="38">
        <f>Assumptions!$F$40</f>
        <v/>
      </c>
      <c r="P9" s="38">
        <f>Assumptions!$F$40</f>
        <v/>
      </c>
      <c r="Q9" s="38">
        <f>Assumptions!$F$40</f>
        <v/>
      </c>
      <c r="R9" s="38">
        <f>Assumptions!$F$40</f>
        <v/>
      </c>
      <c r="S9" s="38">
        <f>Assumptions!$F$40</f>
        <v/>
      </c>
      <c r="T9" s="38">
        <f>Assumptions!$F$40</f>
        <v/>
      </c>
      <c r="U9" s="38">
        <f>Assumptions!$F$40</f>
        <v/>
      </c>
      <c r="V9" s="38">
        <f>Assumptions!$F$40</f>
        <v/>
      </c>
      <c r="W9" s="38">
        <f>Assumptions!$F$40</f>
        <v/>
      </c>
      <c r="X9" s="38">
        <f>Assumptions!$F$40</f>
        <v/>
      </c>
      <c r="Y9" s="38">
        <f>Assumptions!$F$40</f>
        <v/>
      </c>
    </row>
    <row r="10" ht="18" customHeight="1" s="10">
      <c r="A10" s="84" t="inlineStr">
        <is>
          <t>Travel &amp; Entertainment</t>
        </is>
      </c>
      <c r="B10" s="38">
        <f>Revenue!B15*Assumptions!$F$41</f>
        <v/>
      </c>
      <c r="C10" s="38">
        <f>Revenue!C15*Assumptions!$F$41</f>
        <v/>
      </c>
      <c r="D10" s="38">
        <f>Revenue!D15*Assumptions!$F$41</f>
        <v/>
      </c>
      <c r="E10" s="38">
        <f>Revenue!E15*Assumptions!$F$41</f>
        <v/>
      </c>
      <c r="F10" s="38">
        <f>Revenue!F15*Assumptions!$F$41</f>
        <v/>
      </c>
      <c r="G10" s="38">
        <f>Revenue!G15*Assumptions!$F$41</f>
        <v/>
      </c>
      <c r="H10" s="38">
        <f>Revenue!H15*Assumptions!$F$41</f>
        <v/>
      </c>
      <c r="I10" s="38">
        <f>Revenue!I15*Assumptions!$F$41</f>
        <v/>
      </c>
      <c r="J10" s="38">
        <f>Revenue!J15*Assumptions!$F$41</f>
        <v/>
      </c>
      <c r="K10" s="38">
        <f>Revenue!K15*Assumptions!$F$41</f>
        <v/>
      </c>
      <c r="L10" s="38">
        <f>Revenue!L15*Assumptions!$F$41</f>
        <v/>
      </c>
      <c r="M10" s="38">
        <f>Revenue!M15*Assumptions!$F$41</f>
        <v/>
      </c>
      <c r="N10" s="38">
        <f>Revenue!N15*Assumptions!$F$41</f>
        <v/>
      </c>
      <c r="O10" s="38">
        <f>Revenue!O15*Assumptions!$F$41</f>
        <v/>
      </c>
      <c r="P10" s="38">
        <f>Revenue!P15*Assumptions!$F$41</f>
        <v/>
      </c>
      <c r="Q10" s="38">
        <f>Revenue!Q15*Assumptions!$F$41</f>
        <v/>
      </c>
      <c r="R10" s="38">
        <f>Revenue!R15*Assumptions!$F$41</f>
        <v/>
      </c>
      <c r="S10" s="38">
        <f>Revenue!S15*Assumptions!$F$41</f>
        <v/>
      </c>
      <c r="T10" s="38">
        <f>Revenue!T15*Assumptions!$F$41</f>
        <v/>
      </c>
      <c r="U10" s="38">
        <f>Revenue!U15*Assumptions!$F$41</f>
        <v/>
      </c>
      <c r="V10" s="38">
        <f>Revenue!V15*Assumptions!$F$41</f>
        <v/>
      </c>
      <c r="W10" s="38">
        <f>Revenue!W15*Assumptions!$F$41</f>
        <v/>
      </c>
      <c r="X10" s="38">
        <f>Revenue!X15*Assumptions!$F$41</f>
        <v/>
      </c>
      <c r="Y10" s="38">
        <f>Revenue!Y15*Assumptions!$F$41</f>
        <v/>
      </c>
    </row>
    <row r="11" ht="18" customHeight="1" s="10">
      <c r="A11" s="84" t="inlineStr">
        <is>
          <t>Other G&amp;A</t>
        </is>
      </c>
      <c r="B11" s="38">
        <f>Assumptions!$F$42</f>
        <v/>
      </c>
      <c r="C11" s="38">
        <f>Assumptions!$F$42</f>
        <v/>
      </c>
      <c r="D11" s="38">
        <f>Assumptions!$F$42</f>
        <v/>
      </c>
      <c r="E11" s="38">
        <f>Assumptions!$F$42</f>
        <v/>
      </c>
      <c r="F11" s="38">
        <f>Assumptions!$F$42</f>
        <v/>
      </c>
      <c r="G11" s="38">
        <f>Assumptions!$F$42</f>
        <v/>
      </c>
      <c r="H11" s="38">
        <f>Assumptions!$F$42</f>
        <v/>
      </c>
      <c r="I11" s="38">
        <f>Assumptions!$F$42</f>
        <v/>
      </c>
      <c r="J11" s="38">
        <f>Assumptions!$F$42</f>
        <v/>
      </c>
      <c r="K11" s="38">
        <f>Assumptions!$F$42</f>
        <v/>
      </c>
      <c r="L11" s="38">
        <f>Assumptions!$F$42</f>
        <v/>
      </c>
      <c r="M11" s="38">
        <f>Assumptions!$F$42</f>
        <v/>
      </c>
      <c r="N11" s="38">
        <f>Assumptions!$F$42</f>
        <v/>
      </c>
      <c r="O11" s="38">
        <f>Assumptions!$F$42</f>
        <v/>
      </c>
      <c r="P11" s="38">
        <f>Assumptions!$F$42</f>
        <v/>
      </c>
      <c r="Q11" s="38">
        <f>Assumptions!$F$42</f>
        <v/>
      </c>
      <c r="R11" s="38">
        <f>Assumptions!$F$42</f>
        <v/>
      </c>
      <c r="S11" s="38">
        <f>Assumptions!$F$42</f>
        <v/>
      </c>
      <c r="T11" s="38">
        <f>Assumptions!$F$42</f>
        <v/>
      </c>
      <c r="U11" s="38">
        <f>Assumptions!$F$42</f>
        <v/>
      </c>
      <c r="V11" s="38">
        <f>Assumptions!$F$42</f>
        <v/>
      </c>
      <c r="W11" s="38">
        <f>Assumptions!$F$42</f>
        <v/>
      </c>
      <c r="X11" s="38">
        <f>Assumptions!$F$42</f>
        <v/>
      </c>
      <c r="Y11" s="38">
        <f>Assumptions!$F$42</f>
        <v/>
      </c>
    </row>
    <row r="12" ht="18" customHeight="1" s="10">
      <c r="A12" s="87" t="inlineStr">
        <is>
          <t>Total Opex</t>
        </is>
      </c>
      <c r="B12" s="61">
        <f>SUM(B6:B11)</f>
        <v/>
      </c>
      <c r="C12" s="61">
        <f>SUM(C6:C11)</f>
        <v/>
      </c>
      <c r="D12" s="61">
        <f>SUM(D6:D11)</f>
        <v/>
      </c>
      <c r="E12" s="61">
        <f>SUM(E6:E11)</f>
        <v/>
      </c>
      <c r="F12" s="61">
        <f>SUM(F6:F11)</f>
        <v/>
      </c>
      <c r="G12" s="61">
        <f>SUM(G6:G11)</f>
        <v/>
      </c>
      <c r="H12" s="61">
        <f>SUM(H6:H11)</f>
        <v/>
      </c>
      <c r="I12" s="61">
        <f>SUM(I6:I11)</f>
        <v/>
      </c>
      <c r="J12" s="61">
        <f>SUM(J6:J11)</f>
        <v/>
      </c>
      <c r="K12" s="61">
        <f>SUM(K6:K11)</f>
        <v/>
      </c>
      <c r="L12" s="61">
        <f>SUM(L6:L11)</f>
        <v/>
      </c>
      <c r="M12" s="61">
        <f>SUM(M6:M11)</f>
        <v/>
      </c>
      <c r="N12" s="61">
        <f>SUM(N6:N11)</f>
        <v/>
      </c>
      <c r="O12" s="61">
        <f>SUM(O6:O11)</f>
        <v/>
      </c>
      <c r="P12" s="61">
        <f>SUM(P6:P11)</f>
        <v/>
      </c>
      <c r="Q12" s="61">
        <f>SUM(Q6:Q11)</f>
        <v/>
      </c>
      <c r="R12" s="61">
        <f>SUM(R6:R11)</f>
        <v/>
      </c>
      <c r="S12" s="61">
        <f>SUM(S6:S11)</f>
        <v/>
      </c>
      <c r="T12" s="61">
        <f>SUM(T6:T11)</f>
        <v/>
      </c>
      <c r="U12" s="61">
        <f>SUM(U6:U11)</f>
        <v/>
      </c>
      <c r="V12" s="61">
        <f>SUM(V6:V11)</f>
        <v/>
      </c>
      <c r="W12" s="61">
        <f>SUM(W6:W11)</f>
        <v/>
      </c>
      <c r="X12" s="61">
        <f>SUM(X6:X11)</f>
        <v/>
      </c>
      <c r="Y12" s="61">
        <f>SUM(Y6:Y11)</f>
        <v/>
      </c>
    </row>
    <row r="13" ht="18" customHeight="1" s="10"/>
    <row r="14" ht="18" customHeight="1" s="10"/>
    <row r="15" ht="18" customHeight="1" s="10"/>
    <row r="16" ht="18" customHeight="1" s="10"/>
    <row r="17" ht="18" customHeight="1" s="10"/>
    <row r="18" ht="18" customHeight="1" s="10"/>
    <row r="19" ht="18" customHeight="1" s="10"/>
    <row r="20" ht="18" customHeight="1" s="10"/>
    <row r="21" ht="18" customHeight="1" s="10"/>
    <row r="22" ht="18" customHeight="1" s="10"/>
    <row r="23" ht="18" customHeight="1" s="10"/>
    <row r="24" ht="18" customHeight="1" s="10"/>
    <row r="25" ht="18" customHeight="1" s="10"/>
    <row r="26" ht="18" customHeight="1" s="10"/>
    <row r="27" ht="18" customHeight="1" s="10"/>
    <row r="28" ht="18" customHeight="1" s="10"/>
    <row r="29" ht="18" customHeight="1" s="10"/>
    <row r="30" ht="18" customHeight="1" s="10"/>
    <row r="31" ht="18" customHeight="1" s="10"/>
    <row r="32" ht="18" customHeight="1" s="10"/>
    <row r="33" ht="18" customHeight="1" s="10"/>
    <row r="34" ht="18" customHeight="1" s="10"/>
    <row r="35" ht="18" customHeight="1" s="10"/>
    <row r="36" ht="18" customHeight="1" s="10"/>
    <row r="37" ht="18" customHeight="1" s="10"/>
    <row r="38" ht="18" customHeight="1" s="10"/>
    <row r="39" ht="18" customHeight="1" s="10"/>
    <row r="40" ht="18" customHeight="1" s="10"/>
    <row r="41" ht="18" customHeight="1" s="10"/>
    <row r="42" ht="18" customHeight="1" s="10"/>
    <row r="43" ht="18" customHeight="1" s="10"/>
    <row r="44" ht="18" customHeight="1" s="10"/>
    <row r="45" ht="18" customHeight="1" s="10"/>
    <row r="46" ht="18" customHeight="1" s="10"/>
    <row r="47" ht="18" customHeight="1" s="10"/>
    <row r="48" ht="18" customHeight="1" s="10"/>
    <row r="49" ht="18" customHeight="1" s="10"/>
    <row r="50" ht="18" customHeight="1" s="10"/>
    <row r="51" ht="18" customHeight="1" s="10"/>
    <row r="52" ht="18" customHeight="1" s="10"/>
    <row r="53" ht="18" customHeight="1" s="10"/>
    <row r="54" ht="18" customHeight="1" s="10"/>
    <row r="55" ht="18" customHeight="1" s="10"/>
    <row r="56" ht="18" customHeight="1" s="10"/>
    <row r="57" ht="18" customHeight="1" s="10"/>
    <row r="58" ht="18" customHeight="1" s="10"/>
    <row r="59" ht="18" customHeight="1" s="10"/>
    <row r="60" ht="18" customHeight="1" s="10"/>
    <row r="61" ht="18" customHeight="1" s="10"/>
    <row r="62" ht="18" customHeight="1" s="10"/>
    <row r="63" ht="18" customHeight="1" s="10"/>
    <row r="64" ht="18" customHeight="1" s="10"/>
    <row r="65" ht="18" customHeight="1" s="10"/>
    <row r="66" ht="18" customHeight="1" s="10"/>
    <row r="67" ht="18" customHeight="1" s="10"/>
    <row r="68" ht="18" customHeight="1" s="10"/>
    <row r="69" ht="18" customHeight="1" s="10"/>
    <row r="70" ht="18" customHeight="1" s="10"/>
    <row r="71" ht="18" customHeight="1" s="10"/>
    <row r="72" ht="18" customHeight="1" s="10"/>
    <row r="73" ht="18" customHeight="1" s="10"/>
    <row r="74" ht="18" customHeight="1" s="10"/>
    <row r="75" ht="18" customHeight="1" s="10"/>
    <row r="76" ht="18" customHeight="1" s="10"/>
    <row r="77" ht="18" customHeight="1" s="10"/>
    <row r="78" ht="18" customHeight="1" s="10"/>
    <row r="79" ht="18" customHeight="1" s="10"/>
  </sheetData>
  <mergeCells count="1">
    <mergeCell ref="A3:Y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0"/>
  <sheetViews>
    <sheetView showGridLines="0" zoomScaleNormal="100" workbookViewId="0">
      <selection activeCell="A1" sqref="A1"/>
    </sheetView>
  </sheetViews>
  <sheetFormatPr baseColWidth="8" defaultColWidth="8.7109375" defaultRowHeight="12.75"/>
  <cols>
    <col width="26" customWidth="1" style="10" min="1" max="1"/>
    <col width="12" customWidth="1" style="10" min="2" max="25"/>
  </cols>
  <sheetData>
    <row r="1" ht="24" customHeight="1" s="10">
      <c r="A1" s="16" t="inlineStr">
        <is>
          <t>Working Capital Schedule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</row>
    <row r="2" ht="18" customHeight="1" s="10">
      <c r="A2" s="17" t="inlineStr">
        <is>
          <t>AR / AP balances based on DSO and DPO.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</row>
    <row r="3" ht="18" customHeight="1" s="10">
      <c r="A3" s="3" t="inlineStr">
        <is>
          <t>Monthly Working Capital</t>
        </is>
      </c>
      <c r="B3" s="145" t="n"/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5" t="n"/>
      <c r="R3" s="145" t="n"/>
      <c r="S3" s="145" t="n"/>
      <c r="T3" s="145" t="n"/>
      <c r="U3" s="145" t="n"/>
      <c r="V3" s="145" t="n"/>
      <c r="W3" s="145" t="n"/>
      <c r="X3" s="145" t="n"/>
      <c r="Y3" s="145" t="n"/>
    </row>
    <row r="4" ht="18" customHeight="1" s="10">
      <c r="A4" s="82" t="n"/>
      <c r="B4" s="83">
        <f>Assumptions!$F$6</f>
        <v/>
      </c>
      <c r="C4" s="83">
        <f>DATE(YEAR(B4),MONTH(B4)+1,1)</f>
        <v/>
      </c>
      <c r="D4" s="83">
        <f>DATE(YEAR(C4),MONTH(C4)+1,1)</f>
        <v/>
      </c>
      <c r="E4" s="83">
        <f>DATE(YEAR(D4),MONTH(D4)+1,1)</f>
        <v/>
      </c>
      <c r="F4" s="83">
        <f>DATE(YEAR(E4),MONTH(E4)+1,1)</f>
        <v/>
      </c>
      <c r="G4" s="83">
        <f>DATE(YEAR(F4),MONTH(F4)+1,1)</f>
        <v/>
      </c>
      <c r="H4" s="83">
        <f>DATE(YEAR(G4),MONTH(G4)+1,1)</f>
        <v/>
      </c>
      <c r="I4" s="83">
        <f>DATE(YEAR(H4),MONTH(H4)+1,1)</f>
        <v/>
      </c>
      <c r="J4" s="83">
        <f>DATE(YEAR(I4),MONTH(I4)+1,1)</f>
        <v/>
      </c>
      <c r="K4" s="83">
        <f>DATE(YEAR(J4),MONTH(J4)+1,1)</f>
        <v/>
      </c>
      <c r="L4" s="83">
        <f>DATE(YEAR(K4),MONTH(K4)+1,1)</f>
        <v/>
      </c>
      <c r="M4" s="83">
        <f>DATE(YEAR(L4),MONTH(L4)+1,1)</f>
        <v/>
      </c>
      <c r="N4" s="83">
        <f>DATE(YEAR(M4),MONTH(M4)+1,1)</f>
        <v/>
      </c>
      <c r="O4" s="83">
        <f>DATE(YEAR(N4),MONTH(N4)+1,1)</f>
        <v/>
      </c>
      <c r="P4" s="83">
        <f>DATE(YEAR(O4),MONTH(O4)+1,1)</f>
        <v/>
      </c>
      <c r="Q4" s="83">
        <f>DATE(YEAR(P4),MONTH(P4)+1,1)</f>
        <v/>
      </c>
      <c r="R4" s="83">
        <f>DATE(YEAR(Q4),MONTH(Q4)+1,1)</f>
        <v/>
      </c>
      <c r="S4" s="83">
        <f>DATE(YEAR(R4),MONTH(R4)+1,1)</f>
        <v/>
      </c>
      <c r="T4" s="83">
        <f>DATE(YEAR(S4),MONTH(S4)+1,1)</f>
        <v/>
      </c>
      <c r="U4" s="83">
        <f>DATE(YEAR(T4),MONTH(T4)+1,1)</f>
        <v/>
      </c>
      <c r="V4" s="83">
        <f>DATE(YEAR(U4),MONTH(U4)+1,1)</f>
        <v/>
      </c>
      <c r="W4" s="83">
        <f>DATE(YEAR(V4),MONTH(V4)+1,1)</f>
        <v/>
      </c>
      <c r="X4" s="83">
        <f>DATE(YEAR(W4),MONTH(W4)+1,1)</f>
        <v/>
      </c>
      <c r="Y4" s="83">
        <f>DATE(YEAR(X4),MONTH(X4)+1,1)</f>
        <v/>
      </c>
    </row>
    <row r="5" ht="18" customHeight="1" s="10">
      <c r="A5" s="18" t="n"/>
    </row>
    <row r="6" ht="18" customHeight="1" s="10">
      <c r="A6" s="84" t="inlineStr">
        <is>
          <t>Accounts Receivable</t>
        </is>
      </c>
      <c r="B6" s="38">
        <f>Revenue!B15/30*Assumptions!$F$23</f>
        <v/>
      </c>
      <c r="C6" s="38">
        <f>Revenue!C15/30*Assumptions!$F$23</f>
        <v/>
      </c>
      <c r="D6" s="38">
        <f>Revenue!D15/30*Assumptions!$F$23</f>
        <v/>
      </c>
      <c r="E6" s="38">
        <f>Revenue!E15/30*Assumptions!$F$23</f>
        <v/>
      </c>
      <c r="F6" s="38">
        <f>Revenue!F15/30*Assumptions!$F$23</f>
        <v/>
      </c>
      <c r="G6" s="38">
        <f>Revenue!G15/30*Assumptions!$F$23</f>
        <v/>
      </c>
      <c r="H6" s="38">
        <f>Revenue!H15/30*Assumptions!$F$23</f>
        <v/>
      </c>
      <c r="I6" s="38">
        <f>Revenue!I15/30*Assumptions!$F$23</f>
        <v/>
      </c>
      <c r="J6" s="38">
        <f>Revenue!J15/30*Assumptions!$F$23</f>
        <v/>
      </c>
      <c r="K6" s="38">
        <f>Revenue!K15/30*Assumptions!$F$23</f>
        <v/>
      </c>
      <c r="L6" s="38">
        <f>Revenue!L15/30*Assumptions!$F$23</f>
        <v/>
      </c>
      <c r="M6" s="38">
        <f>Revenue!M15/30*Assumptions!$F$23</f>
        <v/>
      </c>
      <c r="N6" s="38">
        <f>Revenue!N15/30*Assumptions!$F$23</f>
        <v/>
      </c>
      <c r="O6" s="38">
        <f>Revenue!O15/30*Assumptions!$F$23</f>
        <v/>
      </c>
      <c r="P6" s="38">
        <f>Revenue!P15/30*Assumptions!$F$23</f>
        <v/>
      </c>
      <c r="Q6" s="38">
        <f>Revenue!Q15/30*Assumptions!$F$23</f>
        <v/>
      </c>
      <c r="R6" s="38">
        <f>Revenue!R15/30*Assumptions!$F$23</f>
        <v/>
      </c>
      <c r="S6" s="38">
        <f>Revenue!S15/30*Assumptions!$F$23</f>
        <v/>
      </c>
      <c r="T6" s="38">
        <f>Revenue!T15/30*Assumptions!$F$23</f>
        <v/>
      </c>
      <c r="U6" s="38">
        <f>Revenue!U15/30*Assumptions!$F$23</f>
        <v/>
      </c>
      <c r="V6" s="38">
        <f>Revenue!V15/30*Assumptions!$F$23</f>
        <v/>
      </c>
      <c r="W6" s="38">
        <f>Revenue!W15/30*Assumptions!$F$23</f>
        <v/>
      </c>
      <c r="X6" s="38">
        <f>Revenue!X15/30*Assumptions!$F$23</f>
        <v/>
      </c>
      <c r="Y6" s="38">
        <f>Revenue!Y15/30*Assumptions!$F$23</f>
        <v/>
      </c>
    </row>
    <row r="7" ht="18" customHeight="1" s="10">
      <c r="A7" s="84" t="inlineStr">
        <is>
          <t>AP Base Costs</t>
        </is>
      </c>
      <c r="B7" s="38">
        <f>Revenue!B18+Opex!B7+Opex!B8+Opex!B9+Opex!B10+Opex!B11</f>
        <v/>
      </c>
      <c r="C7" s="38">
        <f>Revenue!C18+Opex!C7+Opex!C8+Opex!C9+Opex!C10+Opex!C11</f>
        <v/>
      </c>
      <c r="D7" s="38">
        <f>Revenue!D18+Opex!D7+Opex!D8+Opex!D9+Opex!D10+Opex!D11</f>
        <v/>
      </c>
      <c r="E7" s="38">
        <f>Revenue!E18+Opex!E7+Opex!E8+Opex!E9+Opex!E10+Opex!E11</f>
        <v/>
      </c>
      <c r="F7" s="38">
        <f>Revenue!F18+Opex!F7+Opex!F8+Opex!F9+Opex!F10+Opex!F11</f>
        <v/>
      </c>
      <c r="G7" s="38">
        <f>Revenue!G18+Opex!G7+Opex!G8+Opex!G9+Opex!G10+Opex!G11</f>
        <v/>
      </c>
      <c r="H7" s="38">
        <f>Revenue!H18+Opex!H7+Opex!H8+Opex!H9+Opex!H10+Opex!H11</f>
        <v/>
      </c>
      <c r="I7" s="38">
        <f>Revenue!I18+Opex!I7+Opex!I8+Opex!I9+Opex!I10+Opex!I11</f>
        <v/>
      </c>
      <c r="J7" s="38">
        <f>Revenue!J18+Opex!J7+Opex!J8+Opex!J9+Opex!J10+Opex!J11</f>
        <v/>
      </c>
      <c r="K7" s="38">
        <f>Revenue!K18+Opex!K7+Opex!K8+Opex!K9+Opex!K10+Opex!K11</f>
        <v/>
      </c>
      <c r="L7" s="38">
        <f>Revenue!L18+Opex!L7+Opex!L8+Opex!L9+Opex!L10+Opex!L11</f>
        <v/>
      </c>
      <c r="M7" s="38">
        <f>Revenue!M18+Opex!M7+Opex!M8+Opex!M9+Opex!M10+Opex!M11</f>
        <v/>
      </c>
      <c r="N7" s="38">
        <f>Revenue!N18+Opex!N7+Opex!N8+Opex!N9+Opex!N10+Opex!N11</f>
        <v/>
      </c>
      <c r="O7" s="38">
        <f>Revenue!O18+Opex!O7+Opex!O8+Opex!O9+Opex!O10+Opex!O11</f>
        <v/>
      </c>
      <c r="P7" s="38">
        <f>Revenue!P18+Opex!P7+Opex!P8+Opex!P9+Opex!P10+Opex!P11</f>
        <v/>
      </c>
      <c r="Q7" s="38">
        <f>Revenue!Q18+Opex!Q7+Opex!Q8+Opex!Q9+Opex!Q10+Opex!Q11</f>
        <v/>
      </c>
      <c r="R7" s="38">
        <f>Revenue!R18+Opex!R7+Opex!R8+Opex!R9+Opex!R10+Opex!R11</f>
        <v/>
      </c>
      <c r="S7" s="38">
        <f>Revenue!S18+Opex!S7+Opex!S8+Opex!S9+Opex!S10+Opex!S11</f>
        <v/>
      </c>
      <c r="T7" s="38">
        <f>Revenue!T18+Opex!T7+Opex!T8+Opex!T9+Opex!T10+Opex!T11</f>
        <v/>
      </c>
      <c r="U7" s="38">
        <f>Revenue!U18+Opex!U7+Opex!U8+Opex!U9+Opex!U10+Opex!U11</f>
        <v/>
      </c>
      <c r="V7" s="38">
        <f>Revenue!V18+Opex!V7+Opex!V8+Opex!V9+Opex!V10+Opex!V11</f>
        <v/>
      </c>
      <c r="W7" s="38">
        <f>Revenue!W18+Opex!W7+Opex!W8+Opex!W9+Opex!W10+Opex!W11</f>
        <v/>
      </c>
      <c r="X7" s="38">
        <f>Revenue!X18+Opex!X7+Opex!X8+Opex!X9+Opex!X10+Opex!X11</f>
        <v/>
      </c>
      <c r="Y7" s="38">
        <f>Revenue!Y18+Opex!Y7+Opex!Y8+Opex!Y9+Opex!Y10+Opex!Y11</f>
        <v/>
      </c>
    </row>
    <row r="8" ht="18" customHeight="1" s="10">
      <c r="A8" s="84" t="inlineStr">
        <is>
          <t>Accounts Payable</t>
        </is>
      </c>
      <c r="B8" s="38">
        <f>B7/30*Assumptions!$F$24</f>
        <v/>
      </c>
      <c r="C8" s="38">
        <f>C7/30*Assumptions!$F$24</f>
        <v/>
      </c>
      <c r="D8" s="38">
        <f>D7/30*Assumptions!$F$24</f>
        <v/>
      </c>
      <c r="E8" s="38">
        <f>E7/30*Assumptions!$F$24</f>
        <v/>
      </c>
      <c r="F8" s="38">
        <f>F7/30*Assumptions!$F$24</f>
        <v/>
      </c>
      <c r="G8" s="38">
        <f>G7/30*Assumptions!$F$24</f>
        <v/>
      </c>
      <c r="H8" s="38">
        <f>H7/30*Assumptions!$F$24</f>
        <v/>
      </c>
      <c r="I8" s="38">
        <f>I7/30*Assumptions!$F$24</f>
        <v/>
      </c>
      <c r="J8" s="38">
        <f>J7/30*Assumptions!$F$24</f>
        <v/>
      </c>
      <c r="K8" s="38">
        <f>K7/30*Assumptions!$F$24</f>
        <v/>
      </c>
      <c r="L8" s="38">
        <f>L7/30*Assumptions!$F$24</f>
        <v/>
      </c>
      <c r="M8" s="38">
        <f>M7/30*Assumptions!$F$24</f>
        <v/>
      </c>
      <c r="N8" s="38">
        <f>N7/30*Assumptions!$F$24</f>
        <v/>
      </c>
      <c r="O8" s="38">
        <f>O7/30*Assumptions!$F$24</f>
        <v/>
      </c>
      <c r="P8" s="38">
        <f>P7/30*Assumptions!$F$24</f>
        <v/>
      </c>
      <c r="Q8" s="38">
        <f>Q7/30*Assumptions!$F$24</f>
        <v/>
      </c>
      <c r="R8" s="38">
        <f>R7/30*Assumptions!$F$24</f>
        <v/>
      </c>
      <c r="S8" s="38">
        <f>S7/30*Assumptions!$F$24</f>
        <v/>
      </c>
      <c r="T8" s="38">
        <f>T7/30*Assumptions!$F$24</f>
        <v/>
      </c>
      <c r="U8" s="38">
        <f>U7/30*Assumptions!$F$24</f>
        <v/>
      </c>
      <c r="V8" s="38">
        <f>V7/30*Assumptions!$F$24</f>
        <v/>
      </c>
      <c r="W8" s="38">
        <f>W7/30*Assumptions!$F$24</f>
        <v/>
      </c>
      <c r="X8" s="38">
        <f>X7/30*Assumptions!$F$24</f>
        <v/>
      </c>
      <c r="Y8" s="38">
        <f>Y7/30*Assumptions!$F$24</f>
        <v/>
      </c>
    </row>
    <row r="9" ht="18" customHeight="1" s="10">
      <c r="A9" s="87" t="inlineStr">
        <is>
          <t>Change in AR</t>
        </is>
      </c>
      <c r="B9" s="38">
        <f>B6-Assumptions!$F$8</f>
        <v/>
      </c>
      <c r="C9" s="38">
        <f>C6-B6</f>
        <v/>
      </c>
      <c r="D9" s="38">
        <f>D6-C6</f>
        <v/>
      </c>
      <c r="E9" s="38">
        <f>E6-D6</f>
        <v/>
      </c>
      <c r="F9" s="38">
        <f>F6-E6</f>
        <v/>
      </c>
      <c r="G9" s="38">
        <f>G6-F6</f>
        <v/>
      </c>
      <c r="H9" s="38">
        <f>H6-G6</f>
        <v/>
      </c>
      <c r="I9" s="38">
        <f>I6-H6</f>
        <v/>
      </c>
      <c r="J9" s="38">
        <f>J6-I6</f>
        <v/>
      </c>
      <c r="K9" s="38">
        <f>K6-J6</f>
        <v/>
      </c>
      <c r="L9" s="38">
        <f>L6-K6</f>
        <v/>
      </c>
      <c r="M9" s="38">
        <f>M6-L6</f>
        <v/>
      </c>
      <c r="N9" s="38">
        <f>N6-M6</f>
        <v/>
      </c>
      <c r="O9" s="38">
        <f>O6-N6</f>
        <v/>
      </c>
      <c r="P9" s="38">
        <f>P6-O6</f>
        <v/>
      </c>
      <c r="Q9" s="38">
        <f>Q6-P6</f>
        <v/>
      </c>
      <c r="R9" s="38">
        <f>R6-Q6</f>
        <v/>
      </c>
      <c r="S9" s="38">
        <f>S6-R6</f>
        <v/>
      </c>
      <c r="T9" s="38">
        <f>T6-S6</f>
        <v/>
      </c>
      <c r="U9" s="38">
        <f>U6-T6</f>
        <v/>
      </c>
      <c r="V9" s="38">
        <f>V6-U6</f>
        <v/>
      </c>
      <c r="W9" s="38">
        <f>W6-V6</f>
        <v/>
      </c>
      <c r="X9" s="38">
        <f>X6-W6</f>
        <v/>
      </c>
      <c r="Y9" s="38">
        <f>Y6-X6</f>
        <v/>
      </c>
    </row>
    <row r="10" ht="18" customHeight="1" s="10">
      <c r="A10" s="87" t="inlineStr">
        <is>
          <t>Change in AP</t>
        </is>
      </c>
      <c r="B10" s="38">
        <f>B8-Assumptions!$F$10</f>
        <v/>
      </c>
      <c r="C10" s="38">
        <f>C8-B8</f>
        <v/>
      </c>
      <c r="D10" s="38">
        <f>D8-C8</f>
        <v/>
      </c>
      <c r="E10" s="38">
        <f>E8-D8</f>
        <v/>
      </c>
      <c r="F10" s="38">
        <f>F8-E8</f>
        <v/>
      </c>
      <c r="G10" s="38">
        <f>G8-F8</f>
        <v/>
      </c>
      <c r="H10" s="38">
        <f>H8-G8</f>
        <v/>
      </c>
      <c r="I10" s="38">
        <f>I8-H8</f>
        <v/>
      </c>
      <c r="J10" s="38">
        <f>J8-I8</f>
        <v/>
      </c>
      <c r="K10" s="38">
        <f>K8-J8</f>
        <v/>
      </c>
      <c r="L10" s="38">
        <f>L8-K8</f>
        <v/>
      </c>
      <c r="M10" s="38">
        <f>M8-L8</f>
        <v/>
      </c>
      <c r="N10" s="38">
        <f>N8-M8</f>
        <v/>
      </c>
      <c r="O10" s="38">
        <f>O8-N8</f>
        <v/>
      </c>
      <c r="P10" s="38">
        <f>P8-O8</f>
        <v/>
      </c>
      <c r="Q10" s="38">
        <f>Q8-P8</f>
        <v/>
      </c>
      <c r="R10" s="38">
        <f>R8-Q8</f>
        <v/>
      </c>
      <c r="S10" s="38">
        <f>S8-R8</f>
        <v/>
      </c>
      <c r="T10" s="38">
        <f>T8-S8</f>
        <v/>
      </c>
      <c r="U10" s="38">
        <f>U8-T8</f>
        <v/>
      </c>
      <c r="V10" s="38">
        <f>V8-U8</f>
        <v/>
      </c>
      <c r="W10" s="38">
        <f>W8-V8</f>
        <v/>
      </c>
      <c r="X10" s="38">
        <f>X8-W8</f>
        <v/>
      </c>
      <c r="Y10" s="38">
        <f>Y8-X8</f>
        <v/>
      </c>
    </row>
    <row r="11" ht="18" customHeight="1" s="10"/>
    <row r="12" ht="18" customHeight="1" s="10"/>
    <row r="13" ht="18" customHeight="1" s="10"/>
    <row r="14" ht="18" customHeight="1" s="10"/>
    <row r="15" ht="18" customHeight="1" s="10"/>
    <row r="16" ht="18" customHeight="1" s="10"/>
    <row r="17" ht="18" customHeight="1" s="10"/>
    <row r="18" ht="18" customHeight="1" s="10"/>
    <row r="19" ht="18" customHeight="1" s="10"/>
    <row r="20" ht="18" customHeight="1" s="10"/>
    <row r="21" ht="18" customHeight="1" s="10"/>
    <row r="22" ht="18" customHeight="1" s="10"/>
    <row r="23" ht="18" customHeight="1" s="10"/>
    <row r="24" ht="18" customHeight="1" s="10"/>
    <row r="25" ht="18" customHeight="1" s="10"/>
    <row r="26" ht="18" customHeight="1" s="10"/>
    <row r="27" ht="18" customHeight="1" s="10"/>
    <row r="28" ht="18" customHeight="1" s="10"/>
    <row r="29" ht="18" customHeight="1" s="10"/>
    <row r="30" ht="18" customHeight="1" s="10"/>
    <row r="31" ht="18" customHeight="1" s="10"/>
    <row r="32" ht="18" customHeight="1" s="10"/>
    <row r="33" ht="18" customHeight="1" s="10"/>
    <row r="34" ht="18" customHeight="1" s="10"/>
    <row r="35" ht="18" customHeight="1" s="10"/>
    <row r="36" ht="18" customHeight="1" s="10"/>
    <row r="37" ht="18" customHeight="1" s="10"/>
    <row r="38" ht="18" customHeight="1" s="10"/>
    <row r="39" ht="18" customHeight="1" s="10"/>
    <row r="40" ht="18" customHeight="1" s="10"/>
    <row r="41" ht="18" customHeight="1" s="10"/>
    <row r="42" ht="18" customHeight="1" s="10"/>
    <row r="43" ht="18" customHeight="1" s="10"/>
    <row r="44" ht="18" customHeight="1" s="10"/>
    <row r="45" ht="18" customHeight="1" s="10"/>
    <row r="46" ht="18" customHeight="1" s="10"/>
    <row r="47" ht="18" customHeight="1" s="10"/>
    <row r="48" ht="18" customHeight="1" s="10"/>
    <row r="49" ht="18" customHeight="1" s="10"/>
    <row r="50" ht="18" customHeight="1" s="10"/>
    <row r="51" ht="18" customHeight="1" s="10"/>
    <row r="52" ht="18" customHeight="1" s="10"/>
    <row r="53" ht="18" customHeight="1" s="10"/>
    <row r="54" ht="18" customHeight="1" s="10"/>
    <row r="55" ht="18" customHeight="1" s="10"/>
    <row r="56" ht="18" customHeight="1" s="10"/>
    <row r="57" ht="18" customHeight="1" s="10"/>
    <row r="58" ht="18" customHeight="1" s="10"/>
    <row r="59" ht="18" customHeight="1" s="10"/>
    <row r="60" ht="18" customHeight="1" s="10"/>
    <row r="61" ht="18" customHeight="1" s="10"/>
    <row r="62" ht="18" customHeight="1" s="10"/>
    <row r="63" ht="18" customHeight="1" s="10"/>
    <row r="64" ht="18" customHeight="1" s="10"/>
    <row r="65" ht="18" customHeight="1" s="10"/>
    <row r="66" ht="18" customHeight="1" s="10"/>
    <row r="67" ht="18" customHeight="1" s="10"/>
    <row r="68" ht="18" customHeight="1" s="10"/>
    <row r="69" ht="18" customHeight="1" s="10"/>
    <row r="70" ht="18" customHeight="1" s="10"/>
    <row r="71" ht="18" customHeight="1" s="10"/>
    <row r="72" ht="18" customHeight="1" s="10"/>
    <row r="73" ht="18" customHeight="1" s="10"/>
    <row r="74" ht="18" customHeight="1" s="10"/>
    <row r="75" ht="18" customHeight="1" s="10"/>
    <row r="76" ht="18" customHeight="1" s="10"/>
    <row r="77" ht="18" customHeight="1" s="10"/>
    <row r="78" ht="18" customHeight="1" s="10"/>
    <row r="79" ht="18" customHeight="1" s="10"/>
  </sheetData>
  <mergeCells count="1">
    <mergeCell ref="A3:Y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9"/>
  <sheetViews>
    <sheetView showGridLines="0" zoomScaleNormal="100" workbookViewId="0">
      <selection activeCell="A1" sqref="A1"/>
    </sheetView>
  </sheetViews>
  <sheetFormatPr baseColWidth="8" defaultColWidth="8.7109375" defaultRowHeight="12.75"/>
  <cols>
    <col width="26" customWidth="1" style="10" min="1" max="1"/>
    <col width="12" customWidth="1" style="10" min="2" max="25"/>
  </cols>
  <sheetData>
    <row r="1" ht="24" customHeight="1" s="10">
      <c r="A1" s="16" t="inlineStr">
        <is>
          <t>Capex &amp; Depreciation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</row>
    <row r="2" ht="18" customHeight="1" s="10">
      <c r="A2" s="17" t="inlineStr">
        <is>
          <t>Capex driven as % of revenue with straight-line depreciation.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</row>
    <row r="3" ht="18" customHeight="1" s="10">
      <c r="A3" s="3" t="inlineStr">
        <is>
          <t>Monthly Capex</t>
        </is>
      </c>
      <c r="B3" s="145" t="n"/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5" t="n"/>
      <c r="R3" s="145" t="n"/>
      <c r="S3" s="145" t="n"/>
      <c r="T3" s="145" t="n"/>
      <c r="U3" s="145" t="n"/>
      <c r="V3" s="145" t="n"/>
      <c r="W3" s="145" t="n"/>
      <c r="X3" s="145" t="n"/>
      <c r="Y3" s="145" t="n"/>
    </row>
    <row r="4" ht="18" customHeight="1" s="10">
      <c r="A4" s="82" t="n"/>
      <c r="B4" s="83">
        <f>Assumptions!$F$6</f>
        <v/>
      </c>
      <c r="C4" s="83">
        <f>DATE(YEAR(B4),MONTH(B4)+1,1)</f>
        <v/>
      </c>
      <c r="D4" s="83">
        <f>DATE(YEAR(C4),MONTH(C4)+1,1)</f>
        <v/>
      </c>
      <c r="E4" s="83">
        <f>DATE(YEAR(D4),MONTH(D4)+1,1)</f>
        <v/>
      </c>
      <c r="F4" s="83">
        <f>DATE(YEAR(E4),MONTH(E4)+1,1)</f>
        <v/>
      </c>
      <c r="G4" s="83">
        <f>DATE(YEAR(F4),MONTH(F4)+1,1)</f>
        <v/>
      </c>
      <c r="H4" s="83">
        <f>DATE(YEAR(G4),MONTH(G4)+1,1)</f>
        <v/>
      </c>
      <c r="I4" s="83">
        <f>DATE(YEAR(H4),MONTH(H4)+1,1)</f>
        <v/>
      </c>
      <c r="J4" s="83">
        <f>DATE(YEAR(I4),MONTH(I4)+1,1)</f>
        <v/>
      </c>
      <c r="K4" s="83">
        <f>DATE(YEAR(J4),MONTH(J4)+1,1)</f>
        <v/>
      </c>
      <c r="L4" s="83">
        <f>DATE(YEAR(K4),MONTH(K4)+1,1)</f>
        <v/>
      </c>
      <c r="M4" s="83">
        <f>DATE(YEAR(L4),MONTH(L4)+1,1)</f>
        <v/>
      </c>
      <c r="N4" s="83">
        <f>DATE(YEAR(M4),MONTH(M4)+1,1)</f>
        <v/>
      </c>
      <c r="O4" s="83">
        <f>DATE(YEAR(N4),MONTH(N4)+1,1)</f>
        <v/>
      </c>
      <c r="P4" s="83">
        <f>DATE(YEAR(O4),MONTH(O4)+1,1)</f>
        <v/>
      </c>
      <c r="Q4" s="83">
        <f>DATE(YEAR(P4),MONTH(P4)+1,1)</f>
        <v/>
      </c>
      <c r="R4" s="83">
        <f>DATE(YEAR(Q4),MONTH(Q4)+1,1)</f>
        <v/>
      </c>
      <c r="S4" s="83">
        <f>DATE(YEAR(R4),MONTH(R4)+1,1)</f>
        <v/>
      </c>
      <c r="T4" s="83">
        <f>DATE(YEAR(S4),MONTH(S4)+1,1)</f>
        <v/>
      </c>
      <c r="U4" s="83">
        <f>DATE(YEAR(T4),MONTH(T4)+1,1)</f>
        <v/>
      </c>
      <c r="V4" s="83">
        <f>DATE(YEAR(U4),MONTH(U4)+1,1)</f>
        <v/>
      </c>
      <c r="W4" s="83">
        <f>DATE(YEAR(V4),MONTH(V4)+1,1)</f>
        <v/>
      </c>
      <c r="X4" s="83">
        <f>DATE(YEAR(W4),MONTH(W4)+1,1)</f>
        <v/>
      </c>
      <c r="Y4" s="83">
        <f>DATE(YEAR(X4),MONTH(X4)+1,1)</f>
        <v/>
      </c>
    </row>
    <row r="5" ht="18" customHeight="1" s="10">
      <c r="A5" s="18" t="n"/>
    </row>
    <row r="6" ht="18" customHeight="1" s="10">
      <c r="A6" s="84" t="inlineStr">
        <is>
          <t>Opening Net PP&amp;E</t>
        </is>
      </c>
      <c r="B6" s="38">
        <f>Assumptions!$F$9</f>
        <v/>
      </c>
      <c r="C6" s="38">
        <f>B9</f>
        <v/>
      </c>
      <c r="D6" s="38">
        <f>C9</f>
        <v/>
      </c>
      <c r="E6" s="38">
        <f>D9</f>
        <v/>
      </c>
      <c r="F6" s="38">
        <f>E9</f>
        <v/>
      </c>
      <c r="G6" s="38">
        <f>F9</f>
        <v/>
      </c>
      <c r="H6" s="38">
        <f>G9</f>
        <v/>
      </c>
      <c r="I6" s="38">
        <f>H9</f>
        <v/>
      </c>
      <c r="J6" s="38">
        <f>I9</f>
        <v/>
      </c>
      <c r="K6" s="38">
        <f>J9</f>
        <v/>
      </c>
      <c r="L6" s="38">
        <f>K9</f>
        <v/>
      </c>
      <c r="M6" s="38">
        <f>L9</f>
        <v/>
      </c>
      <c r="N6" s="38">
        <f>M9</f>
        <v/>
      </c>
      <c r="O6" s="38">
        <f>N9</f>
        <v/>
      </c>
      <c r="P6" s="38">
        <f>O9</f>
        <v/>
      </c>
      <c r="Q6" s="38">
        <f>P9</f>
        <v/>
      </c>
      <c r="R6" s="38">
        <f>Q9</f>
        <v/>
      </c>
      <c r="S6" s="38">
        <f>R9</f>
        <v/>
      </c>
      <c r="T6" s="38">
        <f>S9</f>
        <v/>
      </c>
      <c r="U6" s="38">
        <f>T9</f>
        <v/>
      </c>
      <c r="V6" s="38">
        <f>U9</f>
        <v/>
      </c>
      <c r="W6" s="38">
        <f>V9</f>
        <v/>
      </c>
      <c r="X6" s="38">
        <f>W9</f>
        <v/>
      </c>
      <c r="Y6" s="38">
        <f>X9</f>
        <v/>
      </c>
    </row>
    <row r="7" ht="18" customHeight="1" s="10">
      <c r="A7" s="84" t="inlineStr">
        <is>
          <t>Capex</t>
        </is>
      </c>
      <c r="B7" s="38">
        <f>Revenue!B15*Assumptions!$F$27</f>
        <v/>
      </c>
      <c r="C7" s="38">
        <f>Revenue!C15*Assumptions!$F$27</f>
        <v/>
      </c>
      <c r="D7" s="38">
        <f>Revenue!D15*Assumptions!$F$27</f>
        <v/>
      </c>
      <c r="E7" s="38">
        <f>Revenue!E15*Assumptions!$F$27</f>
        <v/>
      </c>
      <c r="F7" s="38">
        <f>Revenue!F15*Assumptions!$F$27</f>
        <v/>
      </c>
      <c r="G7" s="38">
        <f>Revenue!G15*Assumptions!$F$27</f>
        <v/>
      </c>
      <c r="H7" s="38">
        <f>Revenue!H15*Assumptions!$F$27</f>
        <v/>
      </c>
      <c r="I7" s="38">
        <f>Revenue!I15*Assumptions!$F$27</f>
        <v/>
      </c>
      <c r="J7" s="38">
        <f>Revenue!J15*Assumptions!$F$27</f>
        <v/>
      </c>
      <c r="K7" s="38">
        <f>Revenue!K15*Assumptions!$F$27</f>
        <v/>
      </c>
      <c r="L7" s="38">
        <f>Revenue!L15*Assumptions!$F$27</f>
        <v/>
      </c>
      <c r="M7" s="38">
        <f>Revenue!M15*Assumptions!$F$27</f>
        <v/>
      </c>
      <c r="N7" s="38">
        <f>Revenue!N15*Assumptions!$F$27</f>
        <v/>
      </c>
      <c r="O7" s="38">
        <f>Revenue!O15*Assumptions!$F$27</f>
        <v/>
      </c>
      <c r="P7" s="38">
        <f>Revenue!P15*Assumptions!$F$27</f>
        <v/>
      </c>
      <c r="Q7" s="38">
        <f>Revenue!Q15*Assumptions!$F$27</f>
        <v/>
      </c>
      <c r="R7" s="38">
        <f>Revenue!R15*Assumptions!$F$27</f>
        <v/>
      </c>
      <c r="S7" s="38">
        <f>Revenue!S15*Assumptions!$F$27</f>
        <v/>
      </c>
      <c r="T7" s="38">
        <f>Revenue!T15*Assumptions!$F$27</f>
        <v/>
      </c>
      <c r="U7" s="38">
        <f>Revenue!U15*Assumptions!$F$27</f>
        <v/>
      </c>
      <c r="V7" s="38">
        <f>Revenue!V15*Assumptions!$F$27</f>
        <v/>
      </c>
      <c r="W7" s="38">
        <f>Revenue!W15*Assumptions!$F$27</f>
        <v/>
      </c>
      <c r="X7" s="38">
        <f>Revenue!X15*Assumptions!$F$27</f>
        <v/>
      </c>
      <c r="Y7" s="38">
        <f>Revenue!Y15*Assumptions!$F$27</f>
        <v/>
      </c>
    </row>
    <row r="8" ht="18" customHeight="1" s="10">
      <c r="A8" s="84" t="inlineStr">
        <is>
          <t>Depreciation</t>
        </is>
      </c>
      <c r="B8" s="38">
        <f>SUM(B7:B7)/Assumptions!$F$26</f>
        <v/>
      </c>
      <c r="C8" s="38">
        <f>SUM(B7:C7)/Assumptions!$F$26</f>
        <v/>
      </c>
      <c r="D8" s="38">
        <f>SUM(B7:D7)/Assumptions!$F$26</f>
        <v/>
      </c>
      <c r="E8" s="38">
        <f>SUM(B7:E7)/Assumptions!$F$26</f>
        <v/>
      </c>
      <c r="F8" s="38">
        <f>SUM(B7:F7)/Assumptions!$F$26</f>
        <v/>
      </c>
      <c r="G8" s="38">
        <f>SUM(B7:G7)/Assumptions!$F$26</f>
        <v/>
      </c>
      <c r="H8" s="38">
        <f>SUM(B7:H7)/Assumptions!$F$26</f>
        <v/>
      </c>
      <c r="I8" s="38">
        <f>SUM(B7:I7)/Assumptions!$F$26</f>
        <v/>
      </c>
      <c r="J8" s="38">
        <f>SUM(B7:J7)/Assumptions!$F$26</f>
        <v/>
      </c>
      <c r="K8" s="38">
        <f>SUM(B7:K7)/Assumptions!$F$26</f>
        <v/>
      </c>
      <c r="L8" s="38">
        <f>SUM(B7:L7)/Assumptions!$F$26</f>
        <v/>
      </c>
      <c r="M8" s="38">
        <f>SUM(B7:M7)/Assumptions!$F$26</f>
        <v/>
      </c>
      <c r="N8" s="38">
        <f>SUM(B7:N7)/Assumptions!$F$26</f>
        <v/>
      </c>
      <c r="O8" s="38">
        <f>SUM(B7:O7)/Assumptions!$F$26</f>
        <v/>
      </c>
      <c r="P8" s="38">
        <f>SUM(B7:P7)/Assumptions!$F$26</f>
        <v/>
      </c>
      <c r="Q8" s="38">
        <f>SUM(B7:Q7)/Assumptions!$F$26</f>
        <v/>
      </c>
      <c r="R8" s="38">
        <f>SUM(B7:R7)/Assumptions!$F$26</f>
        <v/>
      </c>
      <c r="S8" s="38">
        <f>SUM(B7:S7)/Assumptions!$F$26</f>
        <v/>
      </c>
      <c r="T8" s="38">
        <f>SUM(B7:T7)/Assumptions!$F$26</f>
        <v/>
      </c>
      <c r="U8" s="38">
        <f>SUM(B7:U7)/Assumptions!$F$26</f>
        <v/>
      </c>
      <c r="V8" s="38">
        <f>SUM(B7:V7)/Assumptions!$F$26</f>
        <v/>
      </c>
      <c r="W8" s="38">
        <f>SUM(B7:W7)/Assumptions!$F$26</f>
        <v/>
      </c>
      <c r="X8" s="38">
        <f>SUM(B7:X7)/Assumptions!$F$26</f>
        <v/>
      </c>
      <c r="Y8" s="38">
        <f>SUM(B7:Y7)/Assumptions!$F$26</f>
        <v/>
      </c>
    </row>
    <row r="9" ht="18" customHeight="1" s="10">
      <c r="A9" s="87" t="inlineStr">
        <is>
          <t>Ending Net PP&amp;E</t>
        </is>
      </c>
      <c r="B9" s="61">
        <f>B6+B7-B8</f>
        <v/>
      </c>
      <c r="C9" s="61">
        <f>C6+C7-C8</f>
        <v/>
      </c>
      <c r="D9" s="61">
        <f>D6+D7-D8</f>
        <v/>
      </c>
      <c r="E9" s="61">
        <f>E6+E7-E8</f>
        <v/>
      </c>
      <c r="F9" s="61">
        <f>F6+F7-F8</f>
        <v/>
      </c>
      <c r="G9" s="61">
        <f>G6+G7-G8</f>
        <v/>
      </c>
      <c r="H9" s="61">
        <f>H6+H7-H8</f>
        <v/>
      </c>
      <c r="I9" s="61">
        <f>I6+I7-I8</f>
        <v/>
      </c>
      <c r="J9" s="61">
        <f>J6+J7-J8</f>
        <v/>
      </c>
      <c r="K9" s="61">
        <f>K6+K7-K8</f>
        <v/>
      </c>
      <c r="L9" s="61">
        <f>L6+L7-L8</f>
        <v/>
      </c>
      <c r="M9" s="61">
        <f>M6+M7-M8</f>
        <v/>
      </c>
      <c r="N9" s="61">
        <f>N6+N7-N8</f>
        <v/>
      </c>
      <c r="O9" s="61">
        <f>O6+O7-O8</f>
        <v/>
      </c>
      <c r="P9" s="61">
        <f>P6+P7-P8</f>
        <v/>
      </c>
      <c r="Q9" s="61">
        <f>Q6+Q7-Q8</f>
        <v/>
      </c>
      <c r="R9" s="61">
        <f>R6+R7-R8</f>
        <v/>
      </c>
      <c r="S9" s="61">
        <f>S6+S7-S8</f>
        <v/>
      </c>
      <c r="T9" s="61">
        <f>T6+T7-T8</f>
        <v/>
      </c>
      <c r="U9" s="61">
        <f>U6+U7-U8</f>
        <v/>
      </c>
      <c r="V9" s="61">
        <f>V6+V7-V8</f>
        <v/>
      </c>
      <c r="W9" s="61">
        <f>W6+W7-W8</f>
        <v/>
      </c>
      <c r="X9" s="61">
        <f>X6+X7-X8</f>
        <v/>
      </c>
      <c r="Y9" s="61">
        <f>Y6+Y7-Y8</f>
        <v/>
      </c>
    </row>
    <row r="10" ht="18" customHeight="1" s="10"/>
    <row r="11" ht="18" customHeight="1" s="10"/>
    <row r="12" ht="18" customHeight="1" s="10"/>
    <row r="13" ht="18" customHeight="1" s="10"/>
    <row r="14" ht="18" customHeight="1" s="10"/>
    <row r="15" ht="18" customHeight="1" s="10"/>
    <row r="16" ht="18" customHeight="1" s="10"/>
    <row r="17" ht="18" customHeight="1" s="10"/>
    <row r="18" ht="18" customHeight="1" s="10"/>
    <row r="19" ht="18" customHeight="1" s="10"/>
    <row r="20" ht="18" customHeight="1" s="10"/>
    <row r="21" ht="18" customHeight="1" s="10"/>
    <row r="22" ht="18" customHeight="1" s="10"/>
    <row r="23" ht="18" customHeight="1" s="10"/>
    <row r="24" ht="18" customHeight="1" s="10"/>
    <row r="25" ht="18" customHeight="1" s="10"/>
    <row r="26" ht="18" customHeight="1" s="10"/>
    <row r="27" ht="18" customHeight="1" s="10"/>
    <row r="28" ht="18" customHeight="1" s="10"/>
    <row r="29" ht="18" customHeight="1" s="10"/>
    <row r="30" ht="18" customHeight="1" s="10"/>
    <row r="31" ht="18" customHeight="1" s="10"/>
    <row r="32" ht="18" customHeight="1" s="10"/>
    <row r="33" ht="18" customHeight="1" s="10"/>
    <row r="34" ht="18" customHeight="1" s="10"/>
    <row r="35" ht="18" customHeight="1" s="10"/>
    <row r="36" ht="18" customHeight="1" s="10"/>
    <row r="37" ht="18" customHeight="1" s="10"/>
    <row r="38" ht="18" customHeight="1" s="10"/>
    <row r="39" ht="18" customHeight="1" s="10"/>
    <row r="40" ht="18" customHeight="1" s="10"/>
    <row r="41" ht="18" customHeight="1" s="10"/>
    <row r="42" ht="18" customHeight="1" s="10"/>
    <row r="43" ht="18" customHeight="1" s="10"/>
    <row r="44" ht="18" customHeight="1" s="10"/>
    <row r="45" ht="18" customHeight="1" s="10"/>
    <row r="46" ht="18" customHeight="1" s="10"/>
    <row r="47" ht="18" customHeight="1" s="10"/>
    <row r="48" ht="18" customHeight="1" s="10"/>
    <row r="49" ht="18" customHeight="1" s="10"/>
    <row r="50" ht="18" customHeight="1" s="10"/>
    <row r="51" ht="18" customHeight="1" s="10"/>
    <row r="52" ht="18" customHeight="1" s="10"/>
    <row r="53" ht="18" customHeight="1" s="10"/>
    <row r="54" ht="18" customHeight="1" s="10"/>
    <row r="55" ht="18" customHeight="1" s="10"/>
    <row r="56" ht="18" customHeight="1" s="10"/>
    <row r="57" ht="18" customHeight="1" s="10"/>
    <row r="58" ht="18" customHeight="1" s="10"/>
    <row r="59" ht="18" customHeight="1" s="10"/>
    <row r="60" ht="18" customHeight="1" s="10"/>
    <row r="61" ht="18" customHeight="1" s="10"/>
    <row r="62" ht="18" customHeight="1" s="10"/>
    <row r="63" ht="18" customHeight="1" s="10"/>
    <row r="64" ht="18" customHeight="1" s="10"/>
    <row r="65" ht="18" customHeight="1" s="10"/>
    <row r="66" ht="18" customHeight="1" s="10"/>
    <row r="67" ht="18" customHeight="1" s="10"/>
    <row r="68" ht="18" customHeight="1" s="10"/>
    <row r="69" ht="18" customHeight="1" s="10"/>
    <row r="70" ht="18" customHeight="1" s="10"/>
    <row r="71" ht="18" customHeight="1" s="10"/>
    <row r="72" ht="18" customHeight="1" s="10"/>
    <row r="73" ht="18" customHeight="1" s="10"/>
    <row r="74" ht="18" customHeight="1" s="10"/>
    <row r="75" ht="18" customHeight="1" s="10"/>
    <row r="76" ht="18" customHeight="1" s="10"/>
    <row r="77" ht="18" customHeight="1" s="10"/>
    <row r="78" ht="18" customHeight="1" s="10"/>
    <row r="79" ht="18" customHeight="1" s="10"/>
  </sheetData>
  <mergeCells count="1">
    <mergeCell ref="A3:Y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zoomScaleNormal="100" workbookViewId="0">
      <selection activeCell="A1" sqref="A1"/>
    </sheetView>
  </sheetViews>
  <sheetFormatPr baseColWidth="8" defaultColWidth="8.7109375" defaultRowHeight="12.75"/>
  <cols>
    <col width="4" customWidth="1" style="10" min="1" max="1"/>
    <col width="30" customWidth="1" style="10" min="2" max="2"/>
    <col width="18" customWidth="1" style="10" min="3" max="5"/>
  </cols>
  <sheetData>
    <row r="1" ht="24" customHeight="1" s="10">
      <c r="A1" s="16" t="inlineStr">
        <is>
          <t>Checks &amp; QA</t>
        </is>
      </c>
      <c r="B1" s="15" t="n"/>
      <c r="C1" s="15" t="n"/>
      <c r="D1" s="15" t="n"/>
      <c r="E1" s="15" t="n"/>
    </row>
    <row r="2" ht="18" customHeight="1" s="10">
      <c r="A2" s="17" t="inlineStr">
        <is>
          <t>Quality checks to prove the file is clean before client handoff.</t>
        </is>
      </c>
      <c r="B2" s="15" t="n"/>
      <c r="C2" s="15" t="n"/>
      <c r="D2" s="15" t="n"/>
      <c r="E2" s="15" t="n"/>
    </row>
    <row r="3" ht="18" customHeight="1" s="10">
      <c r="A3" s="15" t="n"/>
      <c r="B3" s="15" t="n"/>
      <c r="C3" s="15" t="n"/>
      <c r="D3" s="15" t="n"/>
      <c r="E3" s="15" t="n"/>
    </row>
    <row r="4" ht="18" customHeight="1" s="10">
      <c r="A4" s="18" t="n"/>
      <c r="B4" s="31" t="inlineStr">
        <is>
          <t>Core Checks</t>
        </is>
      </c>
      <c r="C4" s="145" t="n"/>
      <c r="D4" s="145" t="n"/>
      <c r="E4" s="145" t="n"/>
    </row>
    <row r="5" ht="18" customHeight="1" s="10">
      <c r="A5" s="18" t="n"/>
      <c r="B5" s="34" t="inlineStr">
        <is>
          <t>Check</t>
        </is>
      </c>
      <c r="C5" s="34" t="inlineStr">
        <is>
          <t>Formula / Value</t>
        </is>
      </c>
      <c r="D5" s="34" t="inlineStr">
        <is>
          <t>Status</t>
        </is>
      </c>
      <c r="E5" s="34" t="inlineStr">
        <is>
          <t>Threshold</t>
        </is>
      </c>
    </row>
    <row r="6" ht="18" customHeight="1" s="10">
      <c r="A6" s="18" t="n"/>
      <c r="B6" t="inlineStr">
        <is>
          <t>Scenario selected</t>
        </is>
      </c>
      <c r="C6" s="71">
        <f>Control!C6</f>
        <v/>
      </c>
      <c r="E6" s="20" t="n"/>
    </row>
    <row r="7" ht="18" customHeight="1" s="10">
      <c r="A7" s="18" t="n"/>
      <c r="B7" t="inlineStr">
        <is>
          <t>First month BS balance</t>
        </is>
      </c>
      <c r="C7" s="44">
        <f>ABS(BS!B19)</f>
        <v/>
      </c>
      <c r="D7" s="71">
        <f>IF(C7&lt;1,"PASS","FAIL")</f>
        <v/>
      </c>
      <c r="E7" s="20" t="inlineStr">
        <is>
          <t>&lt; 1</t>
        </is>
      </c>
    </row>
    <row r="8" ht="18" customHeight="1" s="10">
      <c r="A8" s="18" t="n"/>
      <c r="B8" t="inlineStr">
        <is>
          <t>Last month BS balance</t>
        </is>
      </c>
      <c r="C8" s="44">
        <f>ABS(BS!Y19)</f>
        <v/>
      </c>
      <c r="D8" s="71">
        <f>IF(C8&lt;1,"PASS","FAIL")</f>
        <v/>
      </c>
      <c r="E8" s="20" t="inlineStr">
        <is>
          <t>&lt; 1</t>
        </is>
      </c>
    </row>
    <row r="9" ht="18" customHeight="1" s="10">
      <c r="A9" s="18" t="n"/>
      <c r="B9" t="inlineStr">
        <is>
          <t>Minimum ending cash</t>
        </is>
      </c>
      <c r="C9" s="38">
        <f>MIN(CF!B21:Y21)</f>
        <v/>
      </c>
      <c r="D9" s="71">
        <f>IF(C9&gt;0,"PASS","FAIL")</f>
        <v/>
      </c>
      <c r="E9" s="20" t="inlineStr">
        <is>
          <t>&gt; 0</t>
        </is>
      </c>
    </row>
    <row r="10" ht="18" customHeight="1" s="10">
      <c r="A10" s="18" t="n"/>
      <c r="B10" t="inlineStr">
        <is>
          <t>2026 EBITDA margin</t>
        </is>
      </c>
      <c r="C10" s="42">
        <f>Dashboard!C16</f>
        <v/>
      </c>
      <c r="D10" s="71">
        <f>IF(C10&gt;=0,"OK","REVIEW")</f>
        <v/>
      </c>
      <c r="E10" s="20" t="inlineStr">
        <is>
          <t>review</t>
        </is>
      </c>
    </row>
    <row r="11" ht="18" customHeight="1" s="10">
      <c r="A11" s="18" t="n"/>
      <c r="B11" t="inlineStr">
        <is>
          <t>2027 EBITDA margin</t>
        </is>
      </c>
      <c r="C11" s="42">
        <f>Dashboard!D16</f>
        <v/>
      </c>
      <c r="D11" s="71">
        <f>IF(C11&gt;=0,"OK","REVIEW")</f>
        <v/>
      </c>
      <c r="E11" s="20" t="inlineStr">
        <is>
          <t>review</t>
        </is>
      </c>
    </row>
    <row r="12" ht="18" customHeight="1" s="10"/>
    <row r="13" ht="18" customHeight="1" s="10"/>
    <row r="14" ht="18" customHeight="1" s="10"/>
    <row r="15" ht="18" customHeight="1" s="10"/>
    <row r="16" ht="18" customHeight="1" s="10"/>
    <row r="17" ht="18" customHeight="1" s="10"/>
    <row r="18" ht="18" customHeight="1" s="10"/>
    <row r="19" ht="18" customHeight="1" s="10"/>
    <row r="20" ht="18" customHeight="1" s="10"/>
    <row r="21" ht="18" customHeight="1" s="10"/>
    <row r="22" ht="18" customHeight="1" s="10"/>
    <row r="23" ht="18" customHeight="1" s="10"/>
    <row r="24" ht="18" customHeight="1" s="10"/>
    <row r="25" ht="18" customHeight="1" s="10"/>
    <row r="26" ht="18" customHeight="1" s="10"/>
    <row r="27" ht="18" customHeight="1" s="10"/>
    <row r="28" ht="18" customHeight="1" s="10"/>
    <row r="29" ht="18" customHeight="1" s="10"/>
    <row r="30" ht="18" customHeight="1" s="10"/>
    <row r="31" ht="18" customHeight="1" s="10"/>
    <row r="32" ht="18" customHeight="1" s="10"/>
    <row r="33" ht="18" customHeight="1" s="10"/>
    <row r="34" ht="18" customHeight="1" s="10"/>
    <row r="35" ht="18" customHeight="1" s="10"/>
    <row r="36" ht="18" customHeight="1" s="10"/>
    <row r="37" ht="18" customHeight="1" s="10"/>
    <row r="38" ht="18" customHeight="1" s="10"/>
    <row r="39" ht="18" customHeight="1" s="10"/>
    <row r="40" ht="18" customHeight="1" s="10"/>
    <row r="41" ht="18" customHeight="1" s="10"/>
    <row r="42" ht="18" customHeight="1" s="10"/>
    <row r="43" ht="18" customHeight="1" s="10"/>
    <row r="44" ht="18" customHeight="1" s="10"/>
    <row r="45" ht="18" customHeight="1" s="10"/>
    <row r="46" ht="18" customHeight="1" s="10"/>
    <row r="47" ht="18" customHeight="1" s="10"/>
    <row r="48" ht="18" customHeight="1" s="10"/>
    <row r="49" ht="18" customHeight="1" s="10"/>
    <row r="50" ht="18" customHeight="1" s="10"/>
    <row r="51" ht="18" customHeight="1" s="10"/>
    <row r="52" ht="18" customHeight="1" s="10"/>
    <row r="53" ht="18" customHeight="1" s="10"/>
    <row r="54" ht="18" customHeight="1" s="10"/>
    <row r="55" ht="18" customHeight="1" s="10"/>
    <row r="56" ht="18" customHeight="1" s="10"/>
    <row r="57" ht="18" customHeight="1" s="10"/>
    <row r="58" ht="18" customHeight="1" s="10"/>
    <row r="59" ht="18" customHeight="1" s="10"/>
    <row r="60" ht="18" customHeight="1" s="10"/>
    <row r="61" ht="18" customHeight="1" s="10"/>
    <row r="62" ht="18" customHeight="1" s="10"/>
    <row r="63" ht="18" customHeight="1" s="10"/>
    <row r="64" ht="18" customHeight="1" s="10"/>
    <row r="65" ht="18" customHeight="1" s="10"/>
    <row r="66" ht="18" customHeight="1" s="10"/>
    <row r="67" ht="18" customHeight="1" s="10"/>
    <row r="68" ht="18" customHeight="1" s="10"/>
    <row r="69" ht="18" customHeight="1" s="10"/>
    <row r="70" ht="18" customHeight="1" s="10"/>
    <row r="71" ht="18" customHeight="1" s="10"/>
    <row r="72" ht="18" customHeight="1" s="10"/>
    <row r="73" ht="18" customHeight="1" s="10"/>
    <row r="74" ht="18" customHeight="1" s="10"/>
    <row r="75" ht="18" customHeight="1" s="10"/>
    <row r="76" ht="18" customHeight="1" s="10"/>
    <row r="77" ht="18" customHeight="1" s="10"/>
    <row r="78" ht="18" customHeight="1" s="10"/>
    <row r="79" ht="18" customHeight="1" s="10"/>
  </sheetData>
  <mergeCells count="1">
    <mergeCell ref="B4:E4"/>
  </mergeCells>
  <conditionalFormatting sqref="D7:D9">
    <cfRule type="cellIs" priority="2" operator="equal" dxfId="1">
      <formula>"PASS"</formula>
    </cfRule>
    <cfRule type="cellIs" priority="3" operator="equal" dxfId="2">
      <formula>"FAIL"</formula>
    </cfRule>
  </conditionalFormatting>
  <conditionalFormatting sqref="D10:D11">
    <cfRule type="cellIs" priority="8" operator="equal" dxfId="1">
      <formula>"OK"</formula>
    </cfRule>
    <cfRule type="cellIs" priority="9" operator="equal" dxfId="0">
      <formula>"REVIEW"</formula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0"/>
  <sheetViews>
    <sheetView showGridLines="0" zoomScaleNormal="100" workbookViewId="0">
      <selection activeCell="A1" sqref="A1"/>
    </sheetView>
  </sheetViews>
  <sheetFormatPr baseColWidth="8" defaultColWidth="8.7109375" defaultRowHeight="12.75"/>
  <cols>
    <col width="26" customWidth="1" style="10" min="1" max="1"/>
    <col width="11" customWidth="1" style="10" min="2" max="25"/>
  </cols>
  <sheetData>
    <row r="1" ht="24" customHeight="1" s="10">
      <c r="A1" s="16" t="inlineStr">
        <is>
          <t>Debt Schedule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</row>
    <row r="2" ht="18" customHeight="1" s="10">
      <c r="A2" s="17" t="inlineStr">
        <is>
          <t>Illustrative debt roll-forward with editable draws and repayments.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</row>
    <row r="3" ht="18" customHeight="1" s="10">
      <c r="A3" s="3" t="inlineStr">
        <is>
          <t>Monthly Debt</t>
        </is>
      </c>
      <c r="B3" s="145" t="n"/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5" t="n"/>
      <c r="R3" s="145" t="n"/>
      <c r="S3" s="145" t="n"/>
      <c r="T3" s="145" t="n"/>
      <c r="U3" s="145" t="n"/>
      <c r="V3" s="145" t="n"/>
      <c r="W3" s="145" t="n"/>
      <c r="X3" s="145" t="n"/>
      <c r="Y3" s="145" t="n"/>
    </row>
    <row r="4" ht="18" customHeight="1" s="10">
      <c r="A4" s="82" t="n"/>
      <c r="B4" s="83">
        <f>Assumptions!$F$6</f>
        <v/>
      </c>
      <c r="C4" s="83">
        <f>DATE(YEAR(B4),MONTH(B4)+1,1)</f>
        <v/>
      </c>
      <c r="D4" s="83">
        <f>DATE(YEAR(C4),MONTH(C4)+1,1)</f>
        <v/>
      </c>
      <c r="E4" s="83">
        <f>DATE(YEAR(D4),MONTH(D4)+1,1)</f>
        <v/>
      </c>
      <c r="F4" s="83">
        <f>DATE(YEAR(E4),MONTH(E4)+1,1)</f>
        <v/>
      </c>
      <c r="G4" s="83">
        <f>DATE(YEAR(F4),MONTH(F4)+1,1)</f>
        <v/>
      </c>
      <c r="H4" s="83">
        <f>DATE(YEAR(G4),MONTH(G4)+1,1)</f>
        <v/>
      </c>
      <c r="I4" s="83">
        <f>DATE(YEAR(H4),MONTH(H4)+1,1)</f>
        <v/>
      </c>
      <c r="J4" s="83">
        <f>DATE(YEAR(I4),MONTH(I4)+1,1)</f>
        <v/>
      </c>
      <c r="K4" s="83">
        <f>DATE(YEAR(J4),MONTH(J4)+1,1)</f>
        <v/>
      </c>
      <c r="L4" s="83">
        <f>DATE(YEAR(K4),MONTH(K4)+1,1)</f>
        <v/>
      </c>
      <c r="M4" s="83">
        <f>DATE(YEAR(L4),MONTH(L4)+1,1)</f>
        <v/>
      </c>
      <c r="N4" s="83">
        <f>DATE(YEAR(M4),MONTH(M4)+1,1)</f>
        <v/>
      </c>
      <c r="O4" s="83">
        <f>DATE(YEAR(N4),MONTH(N4)+1,1)</f>
        <v/>
      </c>
      <c r="P4" s="83">
        <f>DATE(YEAR(O4),MONTH(O4)+1,1)</f>
        <v/>
      </c>
      <c r="Q4" s="83">
        <f>DATE(YEAR(P4),MONTH(P4)+1,1)</f>
        <v/>
      </c>
      <c r="R4" s="83">
        <f>DATE(YEAR(Q4),MONTH(Q4)+1,1)</f>
        <v/>
      </c>
      <c r="S4" s="83">
        <f>DATE(YEAR(R4),MONTH(R4)+1,1)</f>
        <v/>
      </c>
      <c r="T4" s="83">
        <f>DATE(YEAR(S4),MONTH(S4)+1,1)</f>
        <v/>
      </c>
      <c r="U4" s="83">
        <f>DATE(YEAR(T4),MONTH(T4)+1,1)</f>
        <v/>
      </c>
      <c r="V4" s="83">
        <f>DATE(YEAR(U4),MONTH(U4)+1,1)</f>
        <v/>
      </c>
      <c r="W4" s="83">
        <f>DATE(YEAR(V4),MONTH(V4)+1,1)</f>
        <v/>
      </c>
      <c r="X4" s="83">
        <f>DATE(YEAR(W4),MONTH(W4)+1,1)</f>
        <v/>
      </c>
      <c r="Y4" s="83">
        <f>DATE(YEAR(X4),MONTH(X4)+1,1)</f>
        <v/>
      </c>
    </row>
    <row r="5" ht="18" customHeight="1" s="10">
      <c r="A5" s="18" t="n"/>
    </row>
    <row r="6" ht="18" customHeight="1" s="10">
      <c r="A6" s="84" t="inlineStr">
        <is>
          <t>Opening Debt</t>
        </is>
      </c>
      <c r="B6" s="38">
        <f>Assumptions!$F$11</f>
        <v/>
      </c>
      <c r="C6" s="38">
        <f>B9</f>
        <v/>
      </c>
      <c r="D6" s="38">
        <f>C9</f>
        <v/>
      </c>
      <c r="E6" s="38">
        <f>D9</f>
        <v/>
      </c>
      <c r="F6" s="38">
        <f>E9</f>
        <v/>
      </c>
      <c r="G6" s="38">
        <f>F9</f>
        <v/>
      </c>
      <c r="H6" s="38">
        <f>G9</f>
        <v/>
      </c>
      <c r="I6" s="38">
        <f>H9</f>
        <v/>
      </c>
      <c r="J6" s="38">
        <f>I9</f>
        <v/>
      </c>
      <c r="K6" s="38">
        <f>J9</f>
        <v/>
      </c>
      <c r="L6" s="38">
        <f>K9</f>
        <v/>
      </c>
      <c r="M6" s="38">
        <f>L9</f>
        <v/>
      </c>
      <c r="N6" s="38">
        <f>M9</f>
        <v/>
      </c>
      <c r="O6" s="38">
        <f>N9</f>
        <v/>
      </c>
      <c r="P6" s="38">
        <f>O9</f>
        <v/>
      </c>
      <c r="Q6" s="38">
        <f>P9</f>
        <v/>
      </c>
      <c r="R6" s="38">
        <f>Q9</f>
        <v/>
      </c>
      <c r="S6" s="38">
        <f>R9</f>
        <v/>
      </c>
      <c r="T6" s="38">
        <f>S9</f>
        <v/>
      </c>
      <c r="U6" s="38">
        <f>T9</f>
        <v/>
      </c>
      <c r="V6" s="38">
        <f>U9</f>
        <v/>
      </c>
      <c r="W6" s="38">
        <f>V9</f>
        <v/>
      </c>
      <c r="X6" s="38">
        <f>W9</f>
        <v/>
      </c>
      <c r="Y6" s="38">
        <f>X9</f>
        <v/>
      </c>
    </row>
    <row r="7" ht="18" customHeight="1" s="10">
      <c r="A7" s="84" t="inlineStr">
        <is>
          <t>Debt Draws</t>
        </is>
      </c>
      <c r="B7" s="68">
        <f>Data_Entry!B66</f>
        <v/>
      </c>
      <c r="C7" s="68">
        <f>Data_Entry!C66</f>
        <v/>
      </c>
      <c r="D7" s="68">
        <f>Data_Entry!D66</f>
        <v/>
      </c>
      <c r="E7" s="68">
        <f>Data_Entry!E66</f>
        <v/>
      </c>
      <c r="F7" s="68">
        <f>Data_Entry!F66</f>
        <v/>
      </c>
      <c r="G7" s="68">
        <f>Data_Entry!G66</f>
        <v/>
      </c>
      <c r="H7" s="68">
        <f>Data_Entry!H66</f>
        <v/>
      </c>
      <c r="I7" s="68">
        <f>Data_Entry!I66</f>
        <v/>
      </c>
      <c r="J7" s="68">
        <f>Data_Entry!J66</f>
        <v/>
      </c>
      <c r="K7" s="68">
        <f>Data_Entry!K66</f>
        <v/>
      </c>
      <c r="L7" s="68">
        <f>Data_Entry!L66</f>
        <v/>
      </c>
      <c r="M7" s="68">
        <f>Data_Entry!M66</f>
        <v/>
      </c>
      <c r="N7" s="68">
        <f>Data_Entry!N66</f>
        <v/>
      </c>
      <c r="O7" s="68">
        <f>Data_Entry!O66</f>
        <v/>
      </c>
      <c r="P7" s="68">
        <f>Data_Entry!P66</f>
        <v/>
      </c>
      <c r="Q7" s="68">
        <f>Data_Entry!Q66</f>
        <v/>
      </c>
      <c r="R7" s="68">
        <f>Data_Entry!R66</f>
        <v/>
      </c>
      <c r="S7" s="68">
        <f>Data_Entry!S66</f>
        <v/>
      </c>
      <c r="T7" s="68">
        <f>Data_Entry!T66</f>
        <v/>
      </c>
      <c r="U7" s="68">
        <f>Data_Entry!U66</f>
        <v/>
      </c>
      <c r="V7" s="68">
        <f>Data_Entry!V66</f>
        <v/>
      </c>
      <c r="W7" s="68">
        <f>Data_Entry!W66</f>
        <v/>
      </c>
      <c r="X7" s="68">
        <f>Data_Entry!X66</f>
        <v/>
      </c>
      <c r="Y7" s="68">
        <f>Data_Entry!Y66</f>
        <v/>
      </c>
    </row>
    <row r="8" ht="18" customHeight="1" s="10">
      <c r="A8" s="84" t="inlineStr">
        <is>
          <t>Debt Repayments</t>
        </is>
      </c>
      <c r="B8" s="68">
        <f>Data_Entry!B67</f>
        <v/>
      </c>
      <c r="C8" s="68">
        <f>Data_Entry!C67</f>
        <v/>
      </c>
      <c r="D8" s="68">
        <f>Data_Entry!D67</f>
        <v/>
      </c>
      <c r="E8" s="68">
        <f>Data_Entry!E67</f>
        <v/>
      </c>
      <c r="F8" s="68">
        <f>Data_Entry!F67</f>
        <v/>
      </c>
      <c r="G8" s="68">
        <f>Data_Entry!G67</f>
        <v/>
      </c>
      <c r="H8" s="68">
        <f>Data_Entry!H67</f>
        <v/>
      </c>
      <c r="I8" s="68">
        <f>Data_Entry!I67</f>
        <v/>
      </c>
      <c r="J8" s="68">
        <f>Data_Entry!J67</f>
        <v/>
      </c>
      <c r="K8" s="68">
        <f>Data_Entry!K67</f>
        <v/>
      </c>
      <c r="L8" s="68">
        <f>Data_Entry!L67</f>
        <v/>
      </c>
      <c r="M8" s="68">
        <f>Data_Entry!M67</f>
        <v/>
      </c>
      <c r="N8" s="68">
        <f>Data_Entry!N67</f>
        <v/>
      </c>
      <c r="O8" s="68">
        <f>Data_Entry!O67</f>
        <v/>
      </c>
      <c r="P8" s="68">
        <f>Data_Entry!P67</f>
        <v/>
      </c>
      <c r="Q8" s="68">
        <f>Data_Entry!Q67</f>
        <v/>
      </c>
      <c r="R8" s="68">
        <f>Data_Entry!R67</f>
        <v/>
      </c>
      <c r="S8" s="68">
        <f>Data_Entry!S67</f>
        <v/>
      </c>
      <c r="T8" s="68">
        <f>Data_Entry!T67</f>
        <v/>
      </c>
      <c r="U8" s="68">
        <f>Data_Entry!U67</f>
        <v/>
      </c>
      <c r="V8" s="68">
        <f>Data_Entry!V67</f>
        <v/>
      </c>
      <c r="W8" s="68">
        <f>Data_Entry!W67</f>
        <v/>
      </c>
      <c r="X8" s="68">
        <f>Data_Entry!X67</f>
        <v/>
      </c>
      <c r="Y8" s="68">
        <f>Data_Entry!Y67</f>
        <v/>
      </c>
    </row>
    <row r="9" ht="18" customHeight="1" s="10">
      <c r="A9" s="87" t="inlineStr">
        <is>
          <t>Ending Debt</t>
        </is>
      </c>
      <c r="B9" s="38">
        <f>B6+B7-B8</f>
        <v/>
      </c>
      <c r="C9" s="38">
        <f>C6+C7-C8</f>
        <v/>
      </c>
      <c r="D9" s="38">
        <f>D6+D7-D8</f>
        <v/>
      </c>
      <c r="E9" s="38">
        <f>E6+E7-E8</f>
        <v/>
      </c>
      <c r="F9" s="38">
        <f>F6+F7-F8</f>
        <v/>
      </c>
      <c r="G9" s="38">
        <f>G6+G7-G8</f>
        <v/>
      </c>
      <c r="H9" s="38">
        <f>H6+H7-H8</f>
        <v/>
      </c>
      <c r="I9" s="38">
        <f>I6+I7-I8</f>
        <v/>
      </c>
      <c r="J9" s="38">
        <f>J6+J7-J8</f>
        <v/>
      </c>
      <c r="K9" s="38">
        <f>K6+K7-K8</f>
        <v/>
      </c>
      <c r="L9" s="38">
        <f>L6+L7-L8</f>
        <v/>
      </c>
      <c r="M9" s="38">
        <f>M6+M7-M8</f>
        <v/>
      </c>
      <c r="N9" s="38">
        <f>N6+N7-N8</f>
        <v/>
      </c>
      <c r="O9" s="38">
        <f>O6+O7-O8</f>
        <v/>
      </c>
      <c r="P9" s="38">
        <f>P6+P7-P8</f>
        <v/>
      </c>
      <c r="Q9" s="38">
        <f>Q6+Q7-Q8</f>
        <v/>
      </c>
      <c r="R9" s="38">
        <f>R6+R7-R8</f>
        <v/>
      </c>
      <c r="S9" s="38">
        <f>S6+S7-S8</f>
        <v/>
      </c>
      <c r="T9" s="38">
        <f>T6+T7-T8</f>
        <v/>
      </c>
      <c r="U9" s="38">
        <f>U6+U7-U8</f>
        <v/>
      </c>
      <c r="V9" s="38">
        <f>V6+V7-V8</f>
        <v/>
      </c>
      <c r="W9" s="38">
        <f>W6+W7-W8</f>
        <v/>
      </c>
      <c r="X9" s="38">
        <f>X6+X7-X8</f>
        <v/>
      </c>
      <c r="Y9" s="38">
        <f>Y6+Y7-Y8</f>
        <v/>
      </c>
    </row>
    <row r="10" ht="18" customHeight="1" s="10">
      <c r="A10" s="87" t="inlineStr">
        <is>
          <t>Interest Expense</t>
        </is>
      </c>
      <c r="B10" s="38">
        <f>((B6+B9)/2)*Assumptions!$F$25/12</f>
        <v/>
      </c>
      <c r="C10" s="38">
        <f>((C6+C9)/2)*Assumptions!$F$25/12</f>
        <v/>
      </c>
      <c r="D10" s="38">
        <f>((D6+D9)/2)*Assumptions!$F$25/12</f>
        <v/>
      </c>
      <c r="E10" s="38">
        <f>((E6+E9)/2)*Assumptions!$F$25/12</f>
        <v/>
      </c>
      <c r="F10" s="38">
        <f>((F6+F9)/2)*Assumptions!$F$25/12</f>
        <v/>
      </c>
      <c r="G10" s="38">
        <f>((G6+G9)/2)*Assumptions!$F$25/12</f>
        <v/>
      </c>
      <c r="H10" s="38">
        <f>((H6+H9)/2)*Assumptions!$F$25/12</f>
        <v/>
      </c>
      <c r="I10" s="38">
        <f>((I6+I9)/2)*Assumptions!$F$25/12</f>
        <v/>
      </c>
      <c r="J10" s="38">
        <f>((J6+J9)/2)*Assumptions!$F$25/12</f>
        <v/>
      </c>
      <c r="K10" s="38">
        <f>((K6+K9)/2)*Assumptions!$F$25/12</f>
        <v/>
      </c>
      <c r="L10" s="38">
        <f>((L6+L9)/2)*Assumptions!$F$25/12</f>
        <v/>
      </c>
      <c r="M10" s="38">
        <f>((M6+M9)/2)*Assumptions!$F$25/12</f>
        <v/>
      </c>
      <c r="N10" s="38">
        <f>((N6+N9)/2)*Assumptions!$F$25/12</f>
        <v/>
      </c>
      <c r="O10" s="38">
        <f>((O6+O9)/2)*Assumptions!$F$25/12</f>
        <v/>
      </c>
      <c r="P10" s="38">
        <f>((P6+P9)/2)*Assumptions!$F$25/12</f>
        <v/>
      </c>
      <c r="Q10" s="38">
        <f>((Q6+Q9)/2)*Assumptions!$F$25/12</f>
        <v/>
      </c>
      <c r="R10" s="38">
        <f>((R6+R9)/2)*Assumptions!$F$25/12</f>
        <v/>
      </c>
      <c r="S10" s="38">
        <f>((S6+S9)/2)*Assumptions!$F$25/12</f>
        <v/>
      </c>
      <c r="T10" s="38">
        <f>((T6+T9)/2)*Assumptions!$F$25/12</f>
        <v/>
      </c>
      <c r="U10" s="38">
        <f>((U6+U9)/2)*Assumptions!$F$25/12</f>
        <v/>
      </c>
      <c r="V10" s="38">
        <f>((V6+V9)/2)*Assumptions!$F$25/12</f>
        <v/>
      </c>
      <c r="W10" s="38">
        <f>((W6+W9)/2)*Assumptions!$F$25/12</f>
        <v/>
      </c>
      <c r="X10" s="38">
        <f>((X6+X9)/2)*Assumptions!$F$25/12</f>
        <v/>
      </c>
      <c r="Y10" s="38">
        <f>((Y6+Y9)/2)*Assumptions!$F$25/12</f>
        <v/>
      </c>
    </row>
    <row r="11" ht="18" customHeight="1" s="10"/>
    <row r="12" ht="18" customHeight="1" s="10"/>
    <row r="13" ht="18" customHeight="1" s="10"/>
    <row r="14" ht="18" customHeight="1" s="10"/>
    <row r="15" ht="18" customHeight="1" s="10"/>
    <row r="16" ht="18" customHeight="1" s="10"/>
    <row r="17" ht="18" customHeight="1" s="10"/>
    <row r="18" ht="18" customHeight="1" s="10"/>
    <row r="19" ht="18" customHeight="1" s="10"/>
    <row r="20" ht="18" customHeight="1" s="10"/>
    <row r="21" ht="18" customHeight="1" s="10"/>
    <row r="22" ht="18" customHeight="1" s="10"/>
    <row r="23" ht="18" customHeight="1" s="10"/>
    <row r="24" ht="18" customHeight="1" s="10"/>
    <row r="25" ht="18" customHeight="1" s="10"/>
    <row r="26" ht="18" customHeight="1" s="10"/>
    <row r="27" ht="18" customHeight="1" s="10"/>
    <row r="28" ht="18" customHeight="1" s="10"/>
    <row r="29" ht="18" customHeight="1" s="10"/>
    <row r="30" ht="18" customHeight="1" s="10"/>
    <row r="31" ht="18" customHeight="1" s="10"/>
    <row r="32" ht="18" customHeight="1" s="10"/>
    <row r="33" ht="18" customHeight="1" s="10"/>
    <row r="34" ht="18" customHeight="1" s="10"/>
    <row r="35" ht="18" customHeight="1" s="10"/>
    <row r="36" ht="18" customHeight="1" s="10"/>
    <row r="37" ht="18" customHeight="1" s="10"/>
    <row r="38" ht="18" customHeight="1" s="10"/>
    <row r="39" ht="18" customHeight="1" s="10"/>
    <row r="40" ht="18" customHeight="1" s="10"/>
    <row r="41" ht="18" customHeight="1" s="10"/>
    <row r="42" ht="18" customHeight="1" s="10"/>
    <row r="43" ht="18" customHeight="1" s="10"/>
    <row r="44" ht="18" customHeight="1" s="10"/>
    <row r="45" ht="18" customHeight="1" s="10"/>
    <row r="46" ht="18" customHeight="1" s="10"/>
    <row r="47" ht="18" customHeight="1" s="10"/>
    <row r="48" ht="18" customHeight="1" s="10"/>
    <row r="49" ht="18" customHeight="1" s="10"/>
    <row r="50" ht="18" customHeight="1" s="10"/>
    <row r="51" ht="18" customHeight="1" s="10"/>
    <row r="52" ht="18" customHeight="1" s="10"/>
    <row r="53" ht="18" customHeight="1" s="10"/>
    <row r="54" ht="18" customHeight="1" s="10"/>
    <row r="55" ht="18" customHeight="1" s="10"/>
    <row r="56" ht="18" customHeight="1" s="10"/>
    <row r="57" ht="18" customHeight="1" s="10"/>
    <row r="58" ht="18" customHeight="1" s="10"/>
    <row r="59" ht="18" customHeight="1" s="10"/>
    <row r="60" ht="18" customHeight="1" s="10"/>
    <row r="61" ht="18" customHeight="1" s="10"/>
    <row r="62" ht="18" customHeight="1" s="10"/>
    <row r="63" ht="18" customHeight="1" s="10"/>
    <row r="64" ht="18" customHeight="1" s="10"/>
    <row r="65" ht="18" customHeight="1" s="10"/>
    <row r="66" ht="18" customHeight="1" s="10"/>
    <row r="67" ht="18" customHeight="1" s="10"/>
    <row r="68" ht="18" customHeight="1" s="10"/>
    <row r="69" ht="18" customHeight="1" s="10"/>
    <row r="70" ht="18" customHeight="1" s="10"/>
    <row r="71" ht="18" customHeight="1" s="10"/>
    <row r="72" ht="18" customHeight="1" s="10"/>
    <row r="73" ht="18" customHeight="1" s="10"/>
    <row r="74" ht="18" customHeight="1" s="10"/>
    <row r="75" ht="18" customHeight="1" s="10"/>
    <row r="76" ht="18" customHeight="1" s="10"/>
    <row r="77" ht="18" customHeight="1" s="10"/>
    <row r="78" ht="18" customHeight="1" s="10"/>
    <row r="79" ht="18" customHeight="1" s="10"/>
  </sheetData>
  <mergeCells count="1">
    <mergeCell ref="A3:Y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18"/>
  <sheetViews>
    <sheetView showGridLines="0" zoomScaleNormal="100" workbookViewId="0">
      <selection activeCell="A1" sqref="A1"/>
    </sheetView>
  </sheetViews>
  <sheetFormatPr baseColWidth="8" defaultColWidth="8.7109375" defaultRowHeight="12.75"/>
  <cols>
    <col width="26" customWidth="1" style="10" min="1" max="1"/>
    <col width="12" customWidth="1" style="10" min="2" max="25"/>
  </cols>
  <sheetData>
    <row r="1" ht="24" customHeight="1" s="10">
      <c r="A1" s="16" t="inlineStr">
        <is>
          <t>Income Statement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</row>
    <row r="2" ht="18" customHeight="1" s="10">
      <c r="A2" s="17" t="inlineStr">
        <is>
          <t>Integrated monthly P&amp;L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</row>
    <row r="3" ht="18" customHeight="1" s="10">
      <c r="A3" s="3" t="inlineStr">
        <is>
          <t>Monthly Income Statement</t>
        </is>
      </c>
      <c r="B3" s="145" t="n"/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5" t="n"/>
      <c r="R3" s="145" t="n"/>
      <c r="S3" s="145" t="n"/>
      <c r="T3" s="145" t="n"/>
      <c r="U3" s="145" t="n"/>
      <c r="V3" s="145" t="n"/>
      <c r="W3" s="145" t="n"/>
      <c r="X3" s="145" t="n"/>
      <c r="Y3" s="145" t="n"/>
    </row>
    <row r="4" ht="18" customHeight="1" s="10">
      <c r="A4" s="82" t="n"/>
      <c r="B4" s="83">
        <f>Assumptions!$F$6</f>
        <v/>
      </c>
      <c r="C4" s="83">
        <f>DATE(YEAR(B4),MONTH(B4)+1,1)</f>
        <v/>
      </c>
      <c r="D4" s="83">
        <f>DATE(YEAR(C4),MONTH(C4)+1,1)</f>
        <v/>
      </c>
      <c r="E4" s="83">
        <f>DATE(YEAR(D4),MONTH(D4)+1,1)</f>
        <v/>
      </c>
      <c r="F4" s="83">
        <f>DATE(YEAR(E4),MONTH(E4)+1,1)</f>
        <v/>
      </c>
      <c r="G4" s="83">
        <f>DATE(YEAR(F4),MONTH(F4)+1,1)</f>
        <v/>
      </c>
      <c r="H4" s="83">
        <f>DATE(YEAR(G4),MONTH(G4)+1,1)</f>
        <v/>
      </c>
      <c r="I4" s="83">
        <f>DATE(YEAR(H4),MONTH(H4)+1,1)</f>
        <v/>
      </c>
      <c r="J4" s="83">
        <f>DATE(YEAR(I4),MONTH(I4)+1,1)</f>
        <v/>
      </c>
      <c r="K4" s="83">
        <f>DATE(YEAR(J4),MONTH(J4)+1,1)</f>
        <v/>
      </c>
      <c r="L4" s="83">
        <f>DATE(YEAR(K4),MONTH(K4)+1,1)</f>
        <v/>
      </c>
      <c r="M4" s="83">
        <f>DATE(YEAR(L4),MONTH(L4)+1,1)</f>
        <v/>
      </c>
      <c r="N4" s="83">
        <f>DATE(YEAR(M4),MONTH(M4)+1,1)</f>
        <v/>
      </c>
      <c r="O4" s="83">
        <f>DATE(YEAR(N4),MONTH(N4)+1,1)</f>
        <v/>
      </c>
      <c r="P4" s="83">
        <f>DATE(YEAR(O4),MONTH(O4)+1,1)</f>
        <v/>
      </c>
      <c r="Q4" s="83">
        <f>DATE(YEAR(P4),MONTH(P4)+1,1)</f>
        <v/>
      </c>
      <c r="R4" s="83">
        <f>DATE(YEAR(Q4),MONTH(Q4)+1,1)</f>
        <v/>
      </c>
      <c r="S4" s="83">
        <f>DATE(YEAR(R4),MONTH(R4)+1,1)</f>
        <v/>
      </c>
      <c r="T4" s="83">
        <f>DATE(YEAR(S4),MONTH(S4)+1,1)</f>
        <v/>
      </c>
      <c r="U4" s="83">
        <f>DATE(YEAR(T4),MONTH(T4)+1,1)</f>
        <v/>
      </c>
      <c r="V4" s="83">
        <f>DATE(YEAR(U4),MONTH(U4)+1,1)</f>
        <v/>
      </c>
      <c r="W4" s="83">
        <f>DATE(YEAR(V4),MONTH(V4)+1,1)</f>
        <v/>
      </c>
      <c r="X4" s="83">
        <f>DATE(YEAR(W4),MONTH(W4)+1,1)</f>
        <v/>
      </c>
      <c r="Y4" s="83">
        <f>DATE(YEAR(X4),MONTH(X4)+1,1)</f>
        <v/>
      </c>
    </row>
    <row r="5" ht="18" customHeight="1" s="10">
      <c r="A5" s="18" t="n"/>
    </row>
    <row r="6" ht="18" customHeight="1" s="10">
      <c r="A6" s="84" t="inlineStr">
        <is>
          <t>Total Revenue</t>
        </is>
      </c>
      <c r="B6" s="78">
        <f>Revenue!B15</f>
        <v/>
      </c>
      <c r="C6" s="78">
        <f>Revenue!C15</f>
        <v/>
      </c>
      <c r="D6" s="78">
        <f>Revenue!D15</f>
        <v/>
      </c>
      <c r="E6" s="78">
        <f>Revenue!E15</f>
        <v/>
      </c>
      <c r="F6" s="78">
        <f>Revenue!F15</f>
        <v/>
      </c>
      <c r="G6" s="78">
        <f>Revenue!G15</f>
        <v/>
      </c>
      <c r="H6" s="78">
        <f>Revenue!H15</f>
        <v/>
      </c>
      <c r="I6" s="78">
        <f>Revenue!I15</f>
        <v/>
      </c>
      <c r="J6" s="78">
        <f>Revenue!J15</f>
        <v/>
      </c>
      <c r="K6" s="78">
        <f>Revenue!K15</f>
        <v/>
      </c>
      <c r="L6" s="78">
        <f>Revenue!L15</f>
        <v/>
      </c>
      <c r="M6" s="78">
        <f>Revenue!M15</f>
        <v/>
      </c>
      <c r="N6" s="78">
        <f>Revenue!N15</f>
        <v/>
      </c>
      <c r="O6" s="78">
        <f>Revenue!O15</f>
        <v/>
      </c>
      <c r="P6" s="78">
        <f>Revenue!P15</f>
        <v/>
      </c>
      <c r="Q6" s="78">
        <f>Revenue!Q15</f>
        <v/>
      </c>
      <c r="R6" s="78">
        <f>Revenue!R15</f>
        <v/>
      </c>
      <c r="S6" s="78">
        <f>Revenue!S15</f>
        <v/>
      </c>
      <c r="T6" s="78">
        <f>Revenue!T15</f>
        <v/>
      </c>
      <c r="U6" s="78">
        <f>Revenue!U15</f>
        <v/>
      </c>
      <c r="V6" s="78">
        <f>Revenue!V15</f>
        <v/>
      </c>
      <c r="W6" s="78">
        <f>Revenue!W15</f>
        <v/>
      </c>
      <c r="X6" s="78">
        <f>Revenue!X15</f>
        <v/>
      </c>
      <c r="Y6" s="78">
        <f>Revenue!Y15</f>
        <v/>
      </c>
    </row>
    <row r="7" ht="18" customHeight="1" s="10">
      <c r="A7" s="84" t="inlineStr">
        <is>
          <t>COGS</t>
        </is>
      </c>
      <c r="B7" s="78">
        <f>Revenue!B18</f>
        <v/>
      </c>
      <c r="C7" s="78">
        <f>Revenue!C18</f>
        <v/>
      </c>
      <c r="D7" s="78">
        <f>Revenue!D18</f>
        <v/>
      </c>
      <c r="E7" s="78">
        <f>Revenue!E18</f>
        <v/>
      </c>
      <c r="F7" s="78">
        <f>Revenue!F18</f>
        <v/>
      </c>
      <c r="G7" s="78">
        <f>Revenue!G18</f>
        <v/>
      </c>
      <c r="H7" s="78">
        <f>Revenue!H18</f>
        <v/>
      </c>
      <c r="I7" s="78">
        <f>Revenue!I18</f>
        <v/>
      </c>
      <c r="J7" s="78">
        <f>Revenue!J18</f>
        <v/>
      </c>
      <c r="K7" s="78">
        <f>Revenue!K18</f>
        <v/>
      </c>
      <c r="L7" s="78">
        <f>Revenue!L18</f>
        <v/>
      </c>
      <c r="M7" s="78">
        <f>Revenue!M18</f>
        <v/>
      </c>
      <c r="N7" s="78">
        <f>Revenue!N18</f>
        <v/>
      </c>
      <c r="O7" s="78">
        <f>Revenue!O18</f>
        <v/>
      </c>
      <c r="P7" s="78">
        <f>Revenue!P18</f>
        <v/>
      </c>
      <c r="Q7" s="78">
        <f>Revenue!Q18</f>
        <v/>
      </c>
      <c r="R7" s="78">
        <f>Revenue!R18</f>
        <v/>
      </c>
      <c r="S7" s="78">
        <f>Revenue!S18</f>
        <v/>
      </c>
      <c r="T7" s="78">
        <f>Revenue!T18</f>
        <v/>
      </c>
      <c r="U7" s="78">
        <f>Revenue!U18</f>
        <v/>
      </c>
      <c r="V7" s="78">
        <f>Revenue!V18</f>
        <v/>
      </c>
      <c r="W7" s="78">
        <f>Revenue!W18</f>
        <v/>
      </c>
      <c r="X7" s="78">
        <f>Revenue!X18</f>
        <v/>
      </c>
      <c r="Y7" s="78">
        <f>Revenue!Y18</f>
        <v/>
      </c>
    </row>
    <row r="8" ht="18" customHeight="1" s="10">
      <c r="A8" s="87" t="inlineStr">
        <is>
          <t>Gross Profit</t>
        </is>
      </c>
      <c r="B8" s="61">
        <f>B6-B7</f>
        <v/>
      </c>
      <c r="C8" s="61">
        <f>C6-C7</f>
        <v/>
      </c>
      <c r="D8" s="61">
        <f>D6-D7</f>
        <v/>
      </c>
      <c r="E8" s="61">
        <f>E6-E7</f>
        <v/>
      </c>
      <c r="F8" s="61">
        <f>F6-F7</f>
        <v/>
      </c>
      <c r="G8" s="61">
        <f>G6-G7</f>
        <v/>
      </c>
      <c r="H8" s="61">
        <f>H6-H7</f>
        <v/>
      </c>
      <c r="I8" s="61">
        <f>I6-I7</f>
        <v/>
      </c>
      <c r="J8" s="61">
        <f>J6-J7</f>
        <v/>
      </c>
      <c r="K8" s="61">
        <f>K6-K7</f>
        <v/>
      </c>
      <c r="L8" s="61">
        <f>L6-L7</f>
        <v/>
      </c>
      <c r="M8" s="61">
        <f>M6-M7</f>
        <v/>
      </c>
      <c r="N8" s="61">
        <f>N6-N7</f>
        <v/>
      </c>
      <c r="O8" s="61">
        <f>O6-O7</f>
        <v/>
      </c>
      <c r="P8" s="61">
        <f>P6-P7</f>
        <v/>
      </c>
      <c r="Q8" s="61">
        <f>Q6-Q7</f>
        <v/>
      </c>
      <c r="R8" s="61">
        <f>R6-R7</f>
        <v/>
      </c>
      <c r="S8" s="61">
        <f>S6-S7</f>
        <v/>
      </c>
      <c r="T8" s="61">
        <f>T6-T7</f>
        <v/>
      </c>
      <c r="U8" s="61">
        <f>U6-U7</f>
        <v/>
      </c>
      <c r="V8" s="61">
        <f>V6-V7</f>
        <v/>
      </c>
      <c r="W8" s="61">
        <f>W6-W7</f>
        <v/>
      </c>
      <c r="X8" s="61">
        <f>X6-X7</f>
        <v/>
      </c>
      <c r="Y8" s="61">
        <f>Y6-Y7</f>
        <v/>
      </c>
    </row>
    <row r="9" ht="18" customHeight="1" s="10">
      <c r="A9" s="18" t="n"/>
    </row>
    <row r="10" ht="18" customHeight="1" s="10">
      <c r="A10" s="84" t="inlineStr">
        <is>
          <t>Payroll Expense</t>
        </is>
      </c>
      <c r="B10" s="78">
        <f>Opex!B6</f>
        <v/>
      </c>
      <c r="C10" s="78">
        <f>Opex!C6</f>
        <v/>
      </c>
      <c r="D10" s="78">
        <f>Opex!D6</f>
        <v/>
      </c>
      <c r="E10" s="78">
        <f>Opex!E6</f>
        <v/>
      </c>
      <c r="F10" s="78">
        <f>Opex!F6</f>
        <v/>
      </c>
      <c r="G10" s="78">
        <f>Opex!G6</f>
        <v/>
      </c>
      <c r="H10" s="78">
        <f>Opex!H6</f>
        <v/>
      </c>
      <c r="I10" s="78">
        <f>Opex!I6</f>
        <v/>
      </c>
      <c r="J10" s="78">
        <f>Opex!J6</f>
        <v/>
      </c>
      <c r="K10" s="78">
        <f>Opex!K6</f>
        <v/>
      </c>
      <c r="L10" s="78">
        <f>Opex!L6</f>
        <v/>
      </c>
      <c r="M10" s="78">
        <f>Opex!M6</f>
        <v/>
      </c>
      <c r="N10" s="78">
        <f>Opex!N6</f>
        <v/>
      </c>
      <c r="O10" s="78">
        <f>Opex!O6</f>
        <v/>
      </c>
      <c r="P10" s="78">
        <f>Opex!P6</f>
        <v/>
      </c>
      <c r="Q10" s="78">
        <f>Opex!Q6</f>
        <v/>
      </c>
      <c r="R10" s="78">
        <f>Opex!R6</f>
        <v/>
      </c>
      <c r="S10" s="78">
        <f>Opex!S6</f>
        <v/>
      </c>
      <c r="T10" s="78">
        <f>Opex!T6</f>
        <v/>
      </c>
      <c r="U10" s="78">
        <f>Opex!U6</f>
        <v/>
      </c>
      <c r="V10" s="78">
        <f>Opex!V6</f>
        <v/>
      </c>
      <c r="W10" s="78">
        <f>Opex!W6</f>
        <v/>
      </c>
      <c r="X10" s="78">
        <f>Opex!X6</f>
        <v/>
      </c>
      <c r="Y10" s="78">
        <f>Opex!Y6</f>
        <v/>
      </c>
    </row>
    <row r="11" ht="18" customHeight="1" s="10">
      <c r="A11" s="84" t="inlineStr">
        <is>
          <t>Non-Payroll Opex</t>
        </is>
      </c>
      <c r="B11" s="78">
        <f>Opex!B12-Opex!B6</f>
        <v/>
      </c>
      <c r="C11" s="78">
        <f>Opex!C12-Opex!C6</f>
        <v/>
      </c>
      <c r="D11" s="78">
        <f>Opex!D12-Opex!D6</f>
        <v/>
      </c>
      <c r="E11" s="78">
        <f>Opex!E12-Opex!E6</f>
        <v/>
      </c>
      <c r="F11" s="78">
        <f>Opex!F12-Opex!F6</f>
        <v/>
      </c>
      <c r="G11" s="78">
        <f>Opex!G12-Opex!G6</f>
        <v/>
      </c>
      <c r="H11" s="78">
        <f>Opex!H12-Opex!H6</f>
        <v/>
      </c>
      <c r="I11" s="78">
        <f>Opex!I12-Opex!I6</f>
        <v/>
      </c>
      <c r="J11" s="78">
        <f>Opex!J12-Opex!J6</f>
        <v/>
      </c>
      <c r="K11" s="78">
        <f>Opex!K12-Opex!K6</f>
        <v/>
      </c>
      <c r="L11" s="78">
        <f>Opex!L12-Opex!L6</f>
        <v/>
      </c>
      <c r="M11" s="78">
        <f>Opex!M12-Opex!M6</f>
        <v/>
      </c>
      <c r="N11" s="78">
        <f>Opex!N12-Opex!N6</f>
        <v/>
      </c>
      <c r="O11" s="78">
        <f>Opex!O12-Opex!O6</f>
        <v/>
      </c>
      <c r="P11" s="78">
        <f>Opex!P12-Opex!P6</f>
        <v/>
      </c>
      <c r="Q11" s="78">
        <f>Opex!Q12-Opex!Q6</f>
        <v/>
      </c>
      <c r="R11" s="78">
        <f>Opex!R12-Opex!R6</f>
        <v/>
      </c>
      <c r="S11" s="78">
        <f>Opex!S12-Opex!S6</f>
        <v/>
      </c>
      <c r="T11" s="78">
        <f>Opex!T12-Opex!T6</f>
        <v/>
      </c>
      <c r="U11" s="78">
        <f>Opex!U12-Opex!U6</f>
        <v/>
      </c>
      <c r="V11" s="78">
        <f>Opex!V12-Opex!V6</f>
        <v/>
      </c>
      <c r="W11" s="78">
        <f>Opex!W12-Opex!W6</f>
        <v/>
      </c>
      <c r="X11" s="78">
        <f>Opex!X12-Opex!X6</f>
        <v/>
      </c>
      <c r="Y11" s="78">
        <f>Opex!Y12-Opex!Y6</f>
        <v/>
      </c>
    </row>
    <row r="12" ht="18" customHeight="1" s="10">
      <c r="A12" s="87" t="inlineStr">
        <is>
          <t>EBITDA</t>
        </is>
      </c>
      <c r="B12" s="61">
        <f>B8-B10-B11</f>
        <v/>
      </c>
      <c r="C12" s="61">
        <f>C8-C10-C11</f>
        <v/>
      </c>
      <c r="D12" s="61">
        <f>D8-D10-D11</f>
        <v/>
      </c>
      <c r="E12" s="61">
        <f>E8-E10-E11</f>
        <v/>
      </c>
      <c r="F12" s="61">
        <f>F8-F10-F11</f>
        <v/>
      </c>
      <c r="G12" s="61">
        <f>G8-G10-G11</f>
        <v/>
      </c>
      <c r="H12" s="61">
        <f>H8-H10-H11</f>
        <v/>
      </c>
      <c r="I12" s="61">
        <f>I8-I10-I11</f>
        <v/>
      </c>
      <c r="J12" s="61">
        <f>J8-J10-J11</f>
        <v/>
      </c>
      <c r="K12" s="61">
        <f>K8-K10-K11</f>
        <v/>
      </c>
      <c r="L12" s="61">
        <f>L8-L10-L11</f>
        <v/>
      </c>
      <c r="M12" s="61">
        <f>M8-M10-M11</f>
        <v/>
      </c>
      <c r="N12" s="61">
        <f>N8-N10-N11</f>
        <v/>
      </c>
      <c r="O12" s="61">
        <f>O8-O10-O11</f>
        <v/>
      </c>
      <c r="P12" s="61">
        <f>P8-P10-P11</f>
        <v/>
      </c>
      <c r="Q12" s="61">
        <f>Q8-Q10-Q11</f>
        <v/>
      </c>
      <c r="R12" s="61">
        <f>R8-R10-R11</f>
        <v/>
      </c>
      <c r="S12" s="61">
        <f>S8-S10-S11</f>
        <v/>
      </c>
      <c r="T12" s="61">
        <f>T8-T10-T11</f>
        <v/>
      </c>
      <c r="U12" s="61">
        <f>U8-U10-U11</f>
        <v/>
      </c>
      <c r="V12" s="61">
        <f>V8-V10-V11</f>
        <v/>
      </c>
      <c r="W12" s="61">
        <f>W8-W10-W11</f>
        <v/>
      </c>
      <c r="X12" s="61">
        <f>X8-X10-X11</f>
        <v/>
      </c>
      <c r="Y12" s="61">
        <f>Y8-Y10-Y11</f>
        <v/>
      </c>
    </row>
    <row r="13" ht="18" customHeight="1" s="10">
      <c r="A13" s="84" t="inlineStr">
        <is>
          <t>Depreciation</t>
        </is>
      </c>
      <c r="B13" s="78">
        <f>Capex!B8</f>
        <v/>
      </c>
      <c r="C13" s="78">
        <f>Capex!C8</f>
        <v/>
      </c>
      <c r="D13" s="78">
        <f>Capex!D8</f>
        <v/>
      </c>
      <c r="E13" s="78">
        <f>Capex!E8</f>
        <v/>
      </c>
      <c r="F13" s="78">
        <f>Capex!F8</f>
        <v/>
      </c>
      <c r="G13" s="78">
        <f>Capex!G8</f>
        <v/>
      </c>
      <c r="H13" s="78">
        <f>Capex!H8</f>
        <v/>
      </c>
      <c r="I13" s="78">
        <f>Capex!I8</f>
        <v/>
      </c>
      <c r="J13" s="78">
        <f>Capex!J8</f>
        <v/>
      </c>
      <c r="K13" s="78">
        <f>Capex!K8</f>
        <v/>
      </c>
      <c r="L13" s="78">
        <f>Capex!L8</f>
        <v/>
      </c>
      <c r="M13" s="78">
        <f>Capex!M8</f>
        <v/>
      </c>
      <c r="N13" s="78">
        <f>Capex!N8</f>
        <v/>
      </c>
      <c r="O13" s="78">
        <f>Capex!O8</f>
        <v/>
      </c>
      <c r="P13" s="78">
        <f>Capex!P8</f>
        <v/>
      </c>
      <c r="Q13" s="78">
        <f>Capex!Q8</f>
        <v/>
      </c>
      <c r="R13" s="78">
        <f>Capex!R8</f>
        <v/>
      </c>
      <c r="S13" s="78">
        <f>Capex!S8</f>
        <v/>
      </c>
      <c r="T13" s="78">
        <f>Capex!T8</f>
        <v/>
      </c>
      <c r="U13" s="78">
        <f>Capex!U8</f>
        <v/>
      </c>
      <c r="V13" s="78">
        <f>Capex!V8</f>
        <v/>
      </c>
      <c r="W13" s="78">
        <f>Capex!W8</f>
        <v/>
      </c>
      <c r="X13" s="78">
        <f>Capex!X8</f>
        <v/>
      </c>
      <c r="Y13" s="78">
        <f>Capex!Y8</f>
        <v/>
      </c>
    </row>
    <row r="14" ht="18" customHeight="1" s="10">
      <c r="A14" s="87" t="inlineStr">
        <is>
          <t>EBIT</t>
        </is>
      </c>
      <c r="B14" s="38">
        <f>B12-B13</f>
        <v/>
      </c>
      <c r="C14" s="38">
        <f>C12-C13</f>
        <v/>
      </c>
      <c r="D14" s="38">
        <f>D12-D13</f>
        <v/>
      </c>
      <c r="E14" s="38">
        <f>E12-E13</f>
        <v/>
      </c>
      <c r="F14" s="38">
        <f>F12-F13</f>
        <v/>
      </c>
      <c r="G14" s="38">
        <f>G12-G13</f>
        <v/>
      </c>
      <c r="H14" s="38">
        <f>H12-H13</f>
        <v/>
      </c>
      <c r="I14" s="38">
        <f>I12-I13</f>
        <v/>
      </c>
      <c r="J14" s="38">
        <f>J12-J13</f>
        <v/>
      </c>
      <c r="K14" s="38">
        <f>K12-K13</f>
        <v/>
      </c>
      <c r="L14" s="38">
        <f>L12-L13</f>
        <v/>
      </c>
      <c r="M14" s="38">
        <f>M12-M13</f>
        <v/>
      </c>
      <c r="N14" s="38">
        <f>N12-N13</f>
        <v/>
      </c>
      <c r="O14" s="38">
        <f>O12-O13</f>
        <v/>
      </c>
      <c r="P14" s="38">
        <f>P12-P13</f>
        <v/>
      </c>
      <c r="Q14" s="38">
        <f>Q12-Q13</f>
        <v/>
      </c>
      <c r="R14" s="38">
        <f>R12-R13</f>
        <v/>
      </c>
      <c r="S14" s="38">
        <f>S12-S13</f>
        <v/>
      </c>
      <c r="T14" s="38">
        <f>T12-T13</f>
        <v/>
      </c>
      <c r="U14" s="38">
        <f>U12-U13</f>
        <v/>
      </c>
      <c r="V14" s="38">
        <f>V12-V13</f>
        <v/>
      </c>
      <c r="W14" s="38">
        <f>W12-W13</f>
        <v/>
      </c>
      <c r="X14" s="38">
        <f>X12-X13</f>
        <v/>
      </c>
      <c r="Y14" s="38">
        <f>Y12-Y13</f>
        <v/>
      </c>
    </row>
    <row r="15" ht="18" customHeight="1" s="10">
      <c r="A15" s="84" t="inlineStr">
        <is>
          <t>Interest</t>
        </is>
      </c>
      <c r="B15" s="78">
        <f>Debt!B10</f>
        <v/>
      </c>
      <c r="C15" s="78">
        <f>Debt!C10</f>
        <v/>
      </c>
      <c r="D15" s="78">
        <f>Debt!D10</f>
        <v/>
      </c>
      <c r="E15" s="78">
        <f>Debt!E10</f>
        <v/>
      </c>
      <c r="F15" s="78">
        <f>Debt!F10</f>
        <v/>
      </c>
      <c r="G15" s="78">
        <f>Debt!G10</f>
        <v/>
      </c>
      <c r="H15" s="78">
        <f>Debt!H10</f>
        <v/>
      </c>
      <c r="I15" s="78">
        <f>Debt!I10</f>
        <v/>
      </c>
      <c r="J15" s="78">
        <f>Debt!J10</f>
        <v/>
      </c>
      <c r="K15" s="78">
        <f>Debt!K10</f>
        <v/>
      </c>
      <c r="L15" s="78">
        <f>Debt!L10</f>
        <v/>
      </c>
      <c r="M15" s="78">
        <f>Debt!M10</f>
        <v/>
      </c>
      <c r="N15" s="78">
        <f>Debt!N10</f>
        <v/>
      </c>
      <c r="O15" s="78">
        <f>Debt!O10</f>
        <v/>
      </c>
      <c r="P15" s="78">
        <f>Debt!P10</f>
        <v/>
      </c>
      <c r="Q15" s="78">
        <f>Debt!Q10</f>
        <v/>
      </c>
      <c r="R15" s="78">
        <f>Debt!R10</f>
        <v/>
      </c>
      <c r="S15" s="78">
        <f>Debt!S10</f>
        <v/>
      </c>
      <c r="T15" s="78">
        <f>Debt!T10</f>
        <v/>
      </c>
      <c r="U15" s="78">
        <f>Debt!U10</f>
        <v/>
      </c>
      <c r="V15" s="78">
        <f>Debt!V10</f>
        <v/>
      </c>
      <c r="W15" s="78">
        <f>Debt!W10</f>
        <v/>
      </c>
      <c r="X15" s="78">
        <f>Debt!X10</f>
        <v/>
      </c>
      <c r="Y15" s="78">
        <f>Debt!Y10</f>
        <v/>
      </c>
    </row>
    <row r="16" ht="18" customHeight="1" s="10">
      <c r="A16" s="87" t="inlineStr">
        <is>
          <t>EBT</t>
        </is>
      </c>
      <c r="B16" s="38">
        <f>B14-B15</f>
        <v/>
      </c>
      <c r="C16" s="38">
        <f>C14-C15</f>
        <v/>
      </c>
      <c r="D16" s="38">
        <f>D14-D15</f>
        <v/>
      </c>
      <c r="E16" s="38">
        <f>E14-E15</f>
        <v/>
      </c>
      <c r="F16" s="38">
        <f>F14-F15</f>
        <v/>
      </c>
      <c r="G16" s="38">
        <f>G14-G15</f>
        <v/>
      </c>
      <c r="H16" s="38">
        <f>H14-H15</f>
        <v/>
      </c>
      <c r="I16" s="38">
        <f>I14-I15</f>
        <v/>
      </c>
      <c r="J16" s="38">
        <f>J14-J15</f>
        <v/>
      </c>
      <c r="K16" s="38">
        <f>K14-K15</f>
        <v/>
      </c>
      <c r="L16" s="38">
        <f>L14-L15</f>
        <v/>
      </c>
      <c r="M16" s="38">
        <f>M14-M15</f>
        <v/>
      </c>
      <c r="N16" s="38">
        <f>N14-N15</f>
        <v/>
      </c>
      <c r="O16" s="38">
        <f>O14-O15</f>
        <v/>
      </c>
      <c r="P16" s="38">
        <f>P14-P15</f>
        <v/>
      </c>
      <c r="Q16" s="38">
        <f>Q14-Q15</f>
        <v/>
      </c>
      <c r="R16" s="38">
        <f>R14-R15</f>
        <v/>
      </c>
      <c r="S16" s="38">
        <f>S14-S15</f>
        <v/>
      </c>
      <c r="T16" s="38">
        <f>T14-T15</f>
        <v/>
      </c>
      <c r="U16" s="38">
        <f>U14-U15</f>
        <v/>
      </c>
      <c r="V16" s="38">
        <f>V14-V15</f>
        <v/>
      </c>
      <c r="W16" s="38">
        <f>W14-W15</f>
        <v/>
      </c>
      <c r="X16" s="38">
        <f>X14-X15</f>
        <v/>
      </c>
      <c r="Y16" s="38">
        <f>Y14-Y15</f>
        <v/>
      </c>
    </row>
    <row r="17" ht="18" customHeight="1" s="10">
      <c r="A17" s="84" t="inlineStr">
        <is>
          <t>Taxes</t>
        </is>
      </c>
      <c r="B17" s="38">
        <f>MAX(0,B16*Assumptions!$F$22)</f>
        <v/>
      </c>
      <c r="C17" s="38">
        <f>MAX(0,C16*Assumptions!$F$22)</f>
        <v/>
      </c>
      <c r="D17" s="38">
        <f>MAX(0,D16*Assumptions!$F$22)</f>
        <v/>
      </c>
      <c r="E17" s="38">
        <f>MAX(0,E16*Assumptions!$F$22)</f>
        <v/>
      </c>
      <c r="F17" s="38">
        <f>MAX(0,F16*Assumptions!$F$22)</f>
        <v/>
      </c>
      <c r="G17" s="38">
        <f>MAX(0,G16*Assumptions!$F$22)</f>
        <v/>
      </c>
      <c r="H17" s="38">
        <f>MAX(0,H16*Assumptions!$F$22)</f>
        <v/>
      </c>
      <c r="I17" s="38">
        <f>MAX(0,I16*Assumptions!$F$22)</f>
        <v/>
      </c>
      <c r="J17" s="38">
        <f>MAX(0,J16*Assumptions!$F$22)</f>
        <v/>
      </c>
      <c r="K17" s="38">
        <f>MAX(0,K16*Assumptions!$F$22)</f>
        <v/>
      </c>
      <c r="L17" s="38">
        <f>MAX(0,L16*Assumptions!$F$22)</f>
        <v/>
      </c>
      <c r="M17" s="38">
        <f>MAX(0,M16*Assumptions!$F$22)</f>
        <v/>
      </c>
      <c r="N17" s="38">
        <f>MAX(0,N16*Assumptions!$F$22)</f>
        <v/>
      </c>
      <c r="O17" s="38">
        <f>MAX(0,O16*Assumptions!$F$22)</f>
        <v/>
      </c>
      <c r="P17" s="38">
        <f>MAX(0,P16*Assumptions!$F$22)</f>
        <v/>
      </c>
      <c r="Q17" s="38">
        <f>MAX(0,Q16*Assumptions!$F$22)</f>
        <v/>
      </c>
      <c r="R17" s="38">
        <f>MAX(0,R16*Assumptions!$F$22)</f>
        <v/>
      </c>
      <c r="S17" s="38">
        <f>MAX(0,S16*Assumptions!$F$22)</f>
        <v/>
      </c>
      <c r="T17" s="38">
        <f>MAX(0,T16*Assumptions!$F$22)</f>
        <v/>
      </c>
      <c r="U17" s="38">
        <f>MAX(0,U16*Assumptions!$F$22)</f>
        <v/>
      </c>
      <c r="V17" s="38">
        <f>MAX(0,V16*Assumptions!$F$22)</f>
        <v/>
      </c>
      <c r="W17" s="38">
        <f>MAX(0,W16*Assumptions!$F$22)</f>
        <v/>
      </c>
      <c r="X17" s="38">
        <f>MAX(0,X16*Assumptions!$F$22)</f>
        <v/>
      </c>
      <c r="Y17" s="38">
        <f>MAX(0,Y16*Assumptions!$F$22)</f>
        <v/>
      </c>
    </row>
    <row r="18" ht="18" customHeight="1" s="10">
      <c r="A18" s="87" t="inlineStr">
        <is>
          <t>Net Income</t>
        </is>
      </c>
      <c r="B18" s="61">
        <f>B16-B17</f>
        <v/>
      </c>
      <c r="C18" s="61">
        <f>C16-C17</f>
        <v/>
      </c>
      <c r="D18" s="61">
        <f>D16-D17</f>
        <v/>
      </c>
      <c r="E18" s="61">
        <f>E16-E17</f>
        <v/>
      </c>
      <c r="F18" s="61">
        <f>F16-F17</f>
        <v/>
      </c>
      <c r="G18" s="61">
        <f>G16-G17</f>
        <v/>
      </c>
      <c r="H18" s="61">
        <f>H16-H17</f>
        <v/>
      </c>
      <c r="I18" s="61">
        <f>I16-I17</f>
        <v/>
      </c>
      <c r="J18" s="61">
        <f>J16-J17</f>
        <v/>
      </c>
      <c r="K18" s="61">
        <f>K16-K17</f>
        <v/>
      </c>
      <c r="L18" s="61">
        <f>L16-L17</f>
        <v/>
      </c>
      <c r="M18" s="61">
        <f>M16-M17</f>
        <v/>
      </c>
      <c r="N18" s="61">
        <f>N16-N17</f>
        <v/>
      </c>
      <c r="O18" s="61">
        <f>O16-O17</f>
        <v/>
      </c>
      <c r="P18" s="61">
        <f>P16-P17</f>
        <v/>
      </c>
      <c r="Q18" s="61">
        <f>Q16-Q17</f>
        <v/>
      </c>
      <c r="R18" s="61">
        <f>R16-R17</f>
        <v/>
      </c>
      <c r="S18" s="61">
        <f>S16-S17</f>
        <v/>
      </c>
      <c r="T18" s="61">
        <f>T16-T17</f>
        <v/>
      </c>
      <c r="U18" s="61">
        <f>U16-U17</f>
        <v/>
      </c>
      <c r="V18" s="61">
        <f>V16-V17</f>
        <v/>
      </c>
      <c r="W18" s="61">
        <f>W16-W17</f>
        <v/>
      </c>
      <c r="X18" s="61">
        <f>X16-X17</f>
        <v/>
      </c>
      <c r="Y18" s="61">
        <f>Y16-Y17</f>
        <v/>
      </c>
    </row>
    <row r="19" ht="18" customHeight="1" s="10"/>
    <row r="20" ht="18" customHeight="1" s="10"/>
    <row r="21" ht="18" customHeight="1" s="10"/>
    <row r="22" ht="18" customHeight="1" s="10"/>
    <row r="23" ht="18" customHeight="1" s="10"/>
    <row r="24" ht="18" customHeight="1" s="10"/>
    <row r="25" ht="18" customHeight="1" s="10"/>
    <row r="26" ht="18" customHeight="1" s="10"/>
    <row r="27" ht="18" customHeight="1" s="10"/>
    <row r="28" ht="18" customHeight="1" s="10"/>
    <row r="29" ht="18" customHeight="1" s="10"/>
    <row r="30" ht="18" customHeight="1" s="10"/>
    <row r="31" ht="18" customHeight="1" s="10"/>
    <row r="32" ht="18" customHeight="1" s="10"/>
    <row r="33" ht="18" customHeight="1" s="10"/>
    <row r="34" ht="18" customHeight="1" s="10"/>
    <row r="35" ht="18" customHeight="1" s="10"/>
    <row r="36" ht="18" customHeight="1" s="10"/>
    <row r="37" ht="18" customHeight="1" s="10"/>
    <row r="38" ht="18" customHeight="1" s="10"/>
    <row r="39" ht="18" customHeight="1" s="10"/>
    <row r="40" ht="18" customHeight="1" s="10"/>
    <row r="41" ht="18" customHeight="1" s="10"/>
    <row r="42" ht="18" customHeight="1" s="10"/>
    <row r="43" ht="18" customHeight="1" s="10"/>
    <row r="44" ht="18" customHeight="1" s="10"/>
    <row r="45" ht="18" customHeight="1" s="10"/>
    <row r="46" ht="18" customHeight="1" s="10"/>
    <row r="47" ht="18" customHeight="1" s="10"/>
    <row r="48" ht="18" customHeight="1" s="10"/>
    <row r="49" ht="18" customHeight="1" s="10"/>
    <row r="50" ht="18" customHeight="1" s="10"/>
    <row r="51" ht="18" customHeight="1" s="10"/>
    <row r="52" ht="18" customHeight="1" s="10"/>
    <row r="53" ht="18" customHeight="1" s="10"/>
    <row r="54" ht="18" customHeight="1" s="10"/>
    <row r="55" ht="18" customHeight="1" s="10"/>
    <row r="56" ht="18" customHeight="1" s="10"/>
    <row r="57" ht="18" customHeight="1" s="10"/>
    <row r="58" ht="18" customHeight="1" s="10"/>
    <row r="59" ht="18" customHeight="1" s="10"/>
    <row r="60" ht="18" customHeight="1" s="10"/>
    <row r="61" ht="18" customHeight="1" s="10"/>
    <row r="62" ht="18" customHeight="1" s="10"/>
    <row r="63" ht="18" customHeight="1" s="10"/>
    <row r="64" ht="18" customHeight="1" s="10"/>
    <row r="65" ht="18" customHeight="1" s="10"/>
    <row r="66" ht="18" customHeight="1" s="10"/>
    <row r="67" ht="18" customHeight="1" s="10"/>
    <row r="68" ht="18" customHeight="1" s="10"/>
    <row r="69" ht="18" customHeight="1" s="10"/>
    <row r="70" ht="18" customHeight="1" s="10"/>
    <row r="71" ht="18" customHeight="1" s="10"/>
    <row r="72" ht="18" customHeight="1" s="10"/>
    <row r="73" ht="18" customHeight="1" s="10"/>
    <row r="74" ht="18" customHeight="1" s="10"/>
    <row r="75" ht="18" customHeight="1" s="10"/>
    <row r="76" ht="18" customHeight="1" s="10"/>
    <row r="77" ht="18" customHeight="1" s="10"/>
    <row r="78" ht="18" customHeight="1" s="10"/>
    <row r="79" ht="18" customHeight="1" s="10"/>
  </sheetData>
  <mergeCells count="1">
    <mergeCell ref="A3:Y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tabColor rgb="FF1F4E79"/>
    <outlinePr summaryBelow="1" summaryRight="1"/>
    <pageSetUpPr/>
  </sheetPr>
  <dimension ref="A1:BB24"/>
  <sheetViews>
    <sheetView zoomScaleNormal="100" workbookViewId="0">
      <pane xSplit="1" ySplit="7" topLeftCell="B21" activePane="bottomRight" state="frozen"/>
      <selection pane="topRight" activeCell="B1" sqref="B1"/>
      <selection pane="bottomLeft" activeCell="A8" sqref="A8"/>
      <selection pane="bottomRight" activeCell="F36" sqref="F36"/>
    </sheetView>
  </sheetViews>
  <sheetFormatPr baseColWidth="8" defaultColWidth="8.7109375" defaultRowHeight="12.75"/>
  <cols>
    <col width="30" customWidth="1" style="10" min="1" max="1"/>
    <col width="13" customWidth="1" style="10" min="2" max="26"/>
    <col width="3" customWidth="1" style="10" min="50" max="50"/>
    <col width="15" customWidth="1" style="10" min="51" max="54"/>
  </cols>
  <sheetData>
    <row r="1" ht="27.75" customHeight="1" s="10">
      <c r="A1" s="1" t="inlineStr">
        <is>
          <t>Budget vs Actual – Monthly Variance Analysis</t>
        </is>
      </c>
    </row>
    <row r="2" ht="15" customHeight="1" s="10">
      <c r="A2" s="88" t="inlineStr">
        <is>
          <t>HubSpot (HUBS) | FY2024 Forecast (Budget) vs Illustrative Actuals | USD</t>
        </is>
      </c>
    </row>
    <row r="3" ht="15" customHeight="1" s="10">
      <c r="A3" s="88" t="inlineStr">
        <is>
          <t>Budget = Base Scenario from IS sheet. Actuals = illustrative ±variance for demo purposes.</t>
        </is>
      </c>
    </row>
    <row r="4" ht="15" customHeight="1" s="10">
      <c r="A4" s="89" t="inlineStr">
        <is>
          <t>Legend:</t>
        </is>
      </c>
      <c r="C4" s="90" t="inlineStr">
        <is>
          <t>Budget</t>
        </is>
      </c>
      <c r="D4" s="91" t="inlineStr">
        <is>
          <t>Actual</t>
        </is>
      </c>
      <c r="E4" s="92" t="inlineStr">
        <is>
          <t>Variance $</t>
        </is>
      </c>
      <c r="F4" s="93" t="inlineStr">
        <is>
          <t>Variance %</t>
        </is>
      </c>
      <c r="G4" s="94" t="inlineStr">
        <is>
          <t>Favourable</t>
        </is>
      </c>
      <c r="H4" s="95" t="inlineStr">
        <is>
          <t>Unfavourable</t>
        </is>
      </c>
    </row>
    <row r="5" ht="6" customHeight="1" s="10"/>
    <row r="6" ht="15" customHeight="1" s="10">
      <c r="A6" s="96" t="inlineStr">
        <is>
          <t>Metric</t>
        </is>
      </c>
      <c r="B6" s="144" t="inlineStr">
        <is>
          <t>Jan-24</t>
        </is>
      </c>
      <c r="F6" s="144" t="inlineStr">
        <is>
          <t>Feb-24</t>
        </is>
      </c>
      <c r="J6" s="144" t="inlineStr">
        <is>
          <t>Mar-24</t>
        </is>
      </c>
      <c r="N6" s="144" t="inlineStr">
        <is>
          <t>Apr-24</t>
        </is>
      </c>
      <c r="R6" s="144" t="inlineStr">
        <is>
          <t>May-24</t>
        </is>
      </c>
      <c r="V6" s="144" t="inlineStr">
        <is>
          <t>Jun-24</t>
        </is>
      </c>
      <c r="Z6" s="144" t="inlineStr">
        <is>
          <t>Jul-24</t>
        </is>
      </c>
      <c r="AD6" s="144" t="inlineStr">
        <is>
          <t>Aug-24</t>
        </is>
      </c>
      <c r="AH6" s="144" t="inlineStr">
        <is>
          <t>Sep-24</t>
        </is>
      </c>
      <c r="AL6" s="144" t="inlineStr">
        <is>
          <t>Oct-24</t>
        </is>
      </c>
      <c r="AP6" s="144" t="inlineStr">
        <is>
          <t>Nov-24</t>
        </is>
      </c>
      <c r="AT6" s="144" t="inlineStr">
        <is>
          <t>Dec-24</t>
        </is>
      </c>
      <c r="AY6" s="144" t="inlineStr">
        <is>
          <t>FY2024 Budget</t>
        </is>
      </c>
      <c r="AZ6" s="144" t="inlineStr">
        <is>
          <t>FY2024 Actual</t>
        </is>
      </c>
      <c r="BA6" s="144" t="inlineStr">
        <is>
          <t>Total Var $</t>
        </is>
      </c>
      <c r="BB6" s="144" t="inlineStr">
        <is>
          <t>Total Var %</t>
        </is>
      </c>
    </row>
    <row r="7" ht="18" customHeight="1" s="10">
      <c r="B7" s="98" t="inlineStr">
        <is>
          <t>Budget</t>
        </is>
      </c>
      <c r="C7" s="99" t="inlineStr">
        <is>
          <t>Actual</t>
        </is>
      </c>
      <c r="D7" s="100" t="inlineStr">
        <is>
          <t>Var $</t>
        </is>
      </c>
      <c r="E7" s="101" t="inlineStr">
        <is>
          <t>Var %</t>
        </is>
      </c>
      <c r="F7" s="98" t="inlineStr">
        <is>
          <t>Budget</t>
        </is>
      </c>
      <c r="G7" s="99" t="inlineStr">
        <is>
          <t>Actual</t>
        </is>
      </c>
      <c r="H7" s="100" t="inlineStr">
        <is>
          <t>Var $</t>
        </is>
      </c>
      <c r="I7" s="101" t="inlineStr">
        <is>
          <t>Var %</t>
        </is>
      </c>
      <c r="J7" s="98" t="inlineStr">
        <is>
          <t>Budget</t>
        </is>
      </c>
      <c r="K7" s="99" t="inlineStr">
        <is>
          <t>Actual</t>
        </is>
      </c>
      <c r="L7" s="100" t="inlineStr">
        <is>
          <t>Var $</t>
        </is>
      </c>
      <c r="M7" s="101" t="inlineStr">
        <is>
          <t>Var %</t>
        </is>
      </c>
      <c r="N7" s="98" t="inlineStr">
        <is>
          <t>Budget</t>
        </is>
      </c>
      <c r="O7" s="99" t="inlineStr">
        <is>
          <t>Actual</t>
        </is>
      </c>
      <c r="P7" s="100" t="inlineStr">
        <is>
          <t>Var $</t>
        </is>
      </c>
      <c r="Q7" s="101" t="inlineStr">
        <is>
          <t>Var %</t>
        </is>
      </c>
      <c r="R7" s="98" t="inlineStr">
        <is>
          <t>Budget</t>
        </is>
      </c>
      <c r="S7" s="99" t="inlineStr">
        <is>
          <t>Actual</t>
        </is>
      </c>
      <c r="T7" s="100" t="inlineStr">
        <is>
          <t>Var $</t>
        </is>
      </c>
      <c r="U7" s="101" t="inlineStr">
        <is>
          <t>Var %</t>
        </is>
      </c>
      <c r="V7" s="98" t="inlineStr">
        <is>
          <t>Budget</t>
        </is>
      </c>
      <c r="W7" s="99" t="inlineStr">
        <is>
          <t>Actual</t>
        </is>
      </c>
      <c r="X7" s="100" t="inlineStr">
        <is>
          <t>Var $</t>
        </is>
      </c>
      <c r="Y7" s="101" t="inlineStr">
        <is>
          <t>Var %</t>
        </is>
      </c>
      <c r="Z7" s="98" t="inlineStr">
        <is>
          <t>Budget</t>
        </is>
      </c>
      <c r="AA7" s="99" t="inlineStr">
        <is>
          <t>Actual</t>
        </is>
      </c>
      <c r="AB7" s="100" t="inlineStr">
        <is>
          <t>Var $</t>
        </is>
      </c>
      <c r="AC7" s="101" t="inlineStr">
        <is>
          <t>Var %</t>
        </is>
      </c>
      <c r="AD7" s="98" t="inlineStr">
        <is>
          <t>Budget</t>
        </is>
      </c>
      <c r="AE7" s="99" t="inlineStr">
        <is>
          <t>Actual</t>
        </is>
      </c>
      <c r="AF7" s="100" t="inlineStr">
        <is>
          <t>Var $</t>
        </is>
      </c>
      <c r="AG7" s="101" t="inlineStr">
        <is>
          <t>Var %</t>
        </is>
      </c>
      <c r="AH7" s="98" t="inlineStr">
        <is>
          <t>Budget</t>
        </is>
      </c>
      <c r="AI7" s="99" t="inlineStr">
        <is>
          <t>Actual</t>
        </is>
      </c>
      <c r="AJ7" s="100" t="inlineStr">
        <is>
          <t>Var $</t>
        </is>
      </c>
      <c r="AK7" s="101" t="inlineStr">
        <is>
          <t>Var %</t>
        </is>
      </c>
      <c r="AL7" s="98" t="inlineStr">
        <is>
          <t>Budget</t>
        </is>
      </c>
      <c r="AM7" s="99" t="inlineStr">
        <is>
          <t>Actual</t>
        </is>
      </c>
      <c r="AN7" s="100" t="inlineStr">
        <is>
          <t>Var $</t>
        </is>
      </c>
      <c r="AO7" s="101" t="inlineStr">
        <is>
          <t>Var %</t>
        </is>
      </c>
      <c r="AP7" s="98" t="inlineStr">
        <is>
          <t>Budget</t>
        </is>
      </c>
      <c r="AQ7" s="99" t="inlineStr">
        <is>
          <t>Actual</t>
        </is>
      </c>
      <c r="AR7" s="100" t="inlineStr">
        <is>
          <t>Var $</t>
        </is>
      </c>
      <c r="AS7" s="101" t="inlineStr">
        <is>
          <t>Var %</t>
        </is>
      </c>
      <c r="AT7" s="98" t="inlineStr">
        <is>
          <t>Budget</t>
        </is>
      </c>
      <c r="AU7" s="99" t="inlineStr">
        <is>
          <t>Actual</t>
        </is>
      </c>
      <c r="AV7" s="100" t="inlineStr">
        <is>
          <t>Var $</t>
        </is>
      </c>
      <c r="AW7" s="101" t="inlineStr">
        <is>
          <t>Var %</t>
        </is>
      </c>
    </row>
    <row r="8" ht="15.75" customHeight="1" s="10">
      <c r="A8" s="102" t="inlineStr">
        <is>
          <t>REVENUE</t>
        </is>
      </c>
      <c r="B8" s="103" t="n"/>
      <c r="C8" s="103" t="n"/>
      <c r="D8" s="103" t="n"/>
      <c r="E8" s="103" t="n"/>
      <c r="F8" s="103" t="n"/>
      <c r="G8" s="103" t="n"/>
      <c r="H8" s="103" t="n"/>
      <c r="I8" s="103" t="n"/>
      <c r="J8" s="103" t="n"/>
      <c r="K8" s="103" t="n"/>
      <c r="L8" s="103" t="n"/>
      <c r="M8" s="103" t="n"/>
      <c r="N8" s="103" t="n"/>
      <c r="O8" s="103" t="n"/>
      <c r="P8" s="103" t="n"/>
      <c r="Q8" s="103" t="n"/>
      <c r="R8" s="103" t="n"/>
      <c r="S8" s="103" t="n"/>
      <c r="T8" s="103" t="n"/>
      <c r="U8" s="103" t="n"/>
      <c r="V8" s="103" t="n"/>
      <c r="W8" s="103" t="n"/>
      <c r="X8" s="103" t="n"/>
      <c r="Y8" s="103" t="n"/>
      <c r="Z8" s="103" t="n"/>
      <c r="AA8" s="103" t="n"/>
      <c r="AB8" s="103" t="n"/>
      <c r="AC8" s="103" t="n"/>
      <c r="AD8" s="103" t="n"/>
      <c r="AE8" s="103" t="n"/>
      <c r="AF8" s="103" t="n"/>
      <c r="AG8" s="103" t="n"/>
      <c r="AH8" s="103" t="n"/>
      <c r="AI8" s="103" t="n"/>
      <c r="AJ8" s="103" t="n"/>
      <c r="AK8" s="103" t="n"/>
      <c r="AL8" s="103" t="n"/>
      <c r="AM8" s="103" t="n"/>
      <c r="AN8" s="103" t="n"/>
      <c r="AO8" s="103" t="n"/>
      <c r="AP8" s="103" t="n"/>
      <c r="AQ8" s="103" t="n"/>
      <c r="AR8" s="103" t="n"/>
      <c r="AS8" s="103" t="n"/>
      <c r="AT8" s="103" t="n"/>
      <c r="AU8" s="103" t="n"/>
      <c r="AV8" s="103" t="n"/>
      <c r="AW8" s="103" t="n"/>
    </row>
    <row r="9" ht="15" customHeight="1" s="10">
      <c r="A9" s="104" t="inlineStr">
        <is>
          <t xml:space="preserve">  Total Revenue</t>
        </is>
      </c>
      <c r="B9" s="105">
        <f>IS!B6</f>
        <v/>
      </c>
      <c r="C9" s="106">
        <f>B9*0.97</f>
        <v/>
      </c>
      <c r="D9" s="107">
        <f>C9-B9</f>
        <v/>
      </c>
      <c r="E9" s="108">
        <f>IF(B9=0,"-",D9/B9)</f>
        <v/>
      </c>
      <c r="F9" s="105">
        <f>IS!C6</f>
        <v/>
      </c>
      <c r="G9" s="106">
        <f>F9*1.01</f>
        <v/>
      </c>
      <c r="H9" s="107">
        <f>G9-F9</f>
        <v/>
      </c>
      <c r="I9" s="108">
        <f>IF(F9=0,"-",H9/F9)</f>
        <v/>
      </c>
      <c r="J9" s="105">
        <f>IS!D6</f>
        <v/>
      </c>
      <c r="K9" s="106">
        <f>J9*0.99</f>
        <v/>
      </c>
      <c r="L9" s="107">
        <f>K9-J9</f>
        <v/>
      </c>
      <c r="M9" s="108">
        <f>IF(J9=0,"-",L9/J9)</f>
        <v/>
      </c>
      <c r="N9" s="105">
        <f>IS!E6</f>
        <v/>
      </c>
      <c r="O9" s="106">
        <f>N9*1.03</f>
        <v/>
      </c>
      <c r="P9" s="107">
        <f>O9-N9</f>
        <v/>
      </c>
      <c r="Q9" s="108">
        <f>IF(N9=0,"-",P9/N9)</f>
        <v/>
      </c>
      <c r="R9" s="105">
        <f>IS!F6</f>
        <v/>
      </c>
      <c r="S9" s="106">
        <f>R9*1.02</f>
        <v/>
      </c>
      <c r="T9" s="107">
        <f>S9-R9</f>
        <v/>
      </c>
      <c r="U9" s="108">
        <f>IF(R9=0,"-",T9/R9)</f>
        <v/>
      </c>
      <c r="V9" s="105">
        <f>IS!G6</f>
        <v/>
      </c>
      <c r="W9" s="106">
        <f>V9*0.98</f>
        <v/>
      </c>
      <c r="X9" s="107">
        <f>W9-V9</f>
        <v/>
      </c>
      <c r="Y9" s="108">
        <f>IF(V9=0,"-",X9/V9)</f>
        <v/>
      </c>
      <c r="Z9" s="105">
        <f>IS!H6</f>
        <v/>
      </c>
      <c r="AA9" s="106">
        <f>Z9*1.04</f>
        <v/>
      </c>
      <c r="AB9" s="107">
        <f>AA9-Z9</f>
        <v/>
      </c>
      <c r="AC9" s="108">
        <f>IF(Z9=0,"-",AB9/Z9)</f>
        <v/>
      </c>
      <c r="AD9" s="105">
        <f>IS!I6</f>
        <v/>
      </c>
      <c r="AE9" s="106">
        <f>AD9*1.01</f>
        <v/>
      </c>
      <c r="AF9" s="107">
        <f>AE9-AD9</f>
        <v/>
      </c>
      <c r="AG9" s="108">
        <f>IF(AD9=0,"-",AF9/AD9)</f>
        <v/>
      </c>
      <c r="AH9" s="105">
        <f>IS!J6</f>
        <v/>
      </c>
      <c r="AI9" s="106">
        <f>AH9*0.99</f>
        <v/>
      </c>
      <c r="AJ9" s="107">
        <f>AI9-AH9</f>
        <v/>
      </c>
      <c r="AK9" s="108">
        <f>IF(AH9=0,"-",AJ9/AH9)</f>
        <v/>
      </c>
      <c r="AL9" s="105">
        <f>IS!K6</f>
        <v/>
      </c>
      <c r="AM9" s="106">
        <f>AL9*1.05</f>
        <v/>
      </c>
      <c r="AN9" s="107">
        <f>AM9-AL9</f>
        <v/>
      </c>
      <c r="AO9" s="108">
        <f>IF(AL9=0,"-",AN9/AL9)</f>
        <v/>
      </c>
      <c r="AP9" s="105">
        <f>IS!L6</f>
        <v/>
      </c>
      <c r="AQ9" s="106">
        <f>AP9*1.02</f>
        <v/>
      </c>
      <c r="AR9" s="107">
        <f>AQ9-AP9</f>
        <v/>
      </c>
      <c r="AS9" s="108">
        <f>IF(AP9=0,"-",AR9/AP9)</f>
        <v/>
      </c>
      <c r="AT9" s="105">
        <f>IS!M6</f>
        <v/>
      </c>
      <c r="AU9" s="106">
        <f>AT9*1.03</f>
        <v/>
      </c>
      <c r="AV9" s="107">
        <f>AU9-AT9</f>
        <v/>
      </c>
      <c r="AW9" s="108">
        <f>IF(AT9=0,"-",AV9/AT9)</f>
        <v/>
      </c>
      <c r="AY9" s="105">
        <f>SUM(B9:AT9)</f>
        <v/>
      </c>
      <c r="AZ9" s="106">
        <f>SUM(C9:AU9)</f>
        <v/>
      </c>
      <c r="BA9" s="107">
        <f>AZ9-AY9</f>
        <v/>
      </c>
      <c r="BB9" s="108">
        <f>IF(AY9=0,"-",BA9/AY9)</f>
        <v/>
      </c>
    </row>
    <row r="10" ht="15" customHeight="1" s="10">
      <c r="A10" s="104" t="n"/>
    </row>
    <row r="11" ht="15.75" customHeight="1" s="10">
      <c r="A11" s="102" t="inlineStr">
        <is>
          <t>GROSS PROFIT</t>
        </is>
      </c>
      <c r="B11" s="103" t="n"/>
      <c r="C11" s="103" t="n"/>
      <c r="D11" s="103" t="n"/>
      <c r="E11" s="103" t="n"/>
      <c r="F11" s="103" t="n"/>
      <c r="G11" s="103" t="n"/>
      <c r="H11" s="103" t="n"/>
      <c r="I11" s="103" t="n"/>
      <c r="J11" s="103" t="n"/>
      <c r="K11" s="103" t="n"/>
      <c r="L11" s="103" t="n"/>
      <c r="M11" s="103" t="n"/>
      <c r="N11" s="103" t="n"/>
      <c r="O11" s="103" t="n"/>
      <c r="P11" s="103" t="n"/>
      <c r="Q11" s="103" t="n"/>
      <c r="R11" s="103" t="n"/>
      <c r="S11" s="103" t="n"/>
      <c r="T11" s="103" t="n"/>
      <c r="U11" s="103" t="n"/>
      <c r="V11" s="103" t="n"/>
      <c r="W11" s="103" t="n"/>
      <c r="X11" s="103" t="n"/>
      <c r="Y11" s="103" t="n"/>
      <c r="Z11" s="103" t="n"/>
      <c r="AA11" s="103" t="n"/>
      <c r="AB11" s="103" t="n"/>
      <c r="AC11" s="103" t="n"/>
      <c r="AD11" s="103" t="n"/>
      <c r="AE11" s="103" t="n"/>
      <c r="AF11" s="103" t="n"/>
      <c r="AG11" s="103" t="n"/>
      <c r="AH11" s="103" t="n"/>
      <c r="AI11" s="103" t="n"/>
      <c r="AJ11" s="103" t="n"/>
      <c r="AK11" s="103" t="n"/>
      <c r="AL11" s="103" t="n"/>
      <c r="AM11" s="103" t="n"/>
      <c r="AN11" s="103" t="n"/>
      <c r="AO11" s="103" t="n"/>
      <c r="AP11" s="103" t="n"/>
      <c r="AQ11" s="103" t="n"/>
      <c r="AR11" s="103" t="n"/>
      <c r="AS11" s="103" t="n"/>
      <c r="AT11" s="103" t="n"/>
      <c r="AU11" s="103" t="n"/>
      <c r="AV11" s="103" t="n"/>
      <c r="AW11" s="103" t="n"/>
    </row>
    <row r="12" ht="15" customHeight="1" s="10">
      <c r="A12" s="104" t="inlineStr">
        <is>
          <t xml:space="preserve">  COGS</t>
        </is>
      </c>
      <c r="B12" s="105">
        <f>IS!B7</f>
        <v/>
      </c>
      <c r="C12" s="106">
        <f>B12*0.9409</f>
        <v/>
      </c>
      <c r="D12" s="107">
        <f>C12-B12</f>
        <v/>
      </c>
      <c r="E12" s="108">
        <f>IF(B12=0,"-",D12/B12)</f>
        <v/>
      </c>
      <c r="F12" s="105">
        <f>IS!C7</f>
        <v/>
      </c>
      <c r="G12" s="106">
        <f>F12*0.9797</f>
        <v/>
      </c>
      <c r="H12" s="107">
        <f>G12-F12</f>
        <v/>
      </c>
      <c r="I12" s="108">
        <f>IF(F12=0,"-",H12/F12)</f>
        <v/>
      </c>
      <c r="J12" s="105">
        <f>IS!D7</f>
        <v/>
      </c>
      <c r="K12" s="106">
        <f>J12*0.9603</f>
        <v/>
      </c>
      <c r="L12" s="107">
        <f>K12-J12</f>
        <v/>
      </c>
      <c r="M12" s="108">
        <f>IF(J12=0,"-",L12/J12)</f>
        <v/>
      </c>
      <c r="N12" s="105">
        <f>IS!E7</f>
        <v/>
      </c>
      <c r="O12" s="106">
        <f>N12*0.9991</f>
        <v/>
      </c>
      <c r="P12" s="107">
        <f>O12-N12</f>
        <v/>
      </c>
      <c r="Q12" s="108">
        <f>IF(N12=0,"-",P12/N12)</f>
        <v/>
      </c>
      <c r="R12" s="105">
        <f>IS!F7</f>
        <v/>
      </c>
      <c r="S12" s="106">
        <f>R12*0.9894</f>
        <v/>
      </c>
      <c r="T12" s="107">
        <f>S12-R12</f>
        <v/>
      </c>
      <c r="U12" s="108">
        <f>IF(R12=0,"-",T12/R12)</f>
        <v/>
      </c>
      <c r="V12" s="105">
        <f>IS!G7</f>
        <v/>
      </c>
      <c r="W12" s="106">
        <f>V12*0.9506</f>
        <v/>
      </c>
      <c r="X12" s="107">
        <f>W12-V12</f>
        <v/>
      </c>
      <c r="Y12" s="108">
        <f>IF(V12=0,"-",X12/V12)</f>
        <v/>
      </c>
      <c r="Z12" s="105">
        <f>IS!H7</f>
        <v/>
      </c>
      <c r="AA12" s="106">
        <f>Z12*1.0088</f>
        <v/>
      </c>
      <c r="AB12" s="107">
        <f>AA12-Z12</f>
        <v/>
      </c>
      <c r="AC12" s="108">
        <f>IF(Z12=0,"-",AB12/Z12)</f>
        <v/>
      </c>
      <c r="AD12" s="105">
        <f>IS!I7</f>
        <v/>
      </c>
      <c r="AE12" s="106">
        <f>AD12*0.9797</f>
        <v/>
      </c>
      <c r="AF12" s="107">
        <f>AE12-AD12</f>
        <v/>
      </c>
      <c r="AG12" s="108">
        <f>IF(AD12=0,"-",AF12/AD12)</f>
        <v/>
      </c>
      <c r="AH12" s="105">
        <f>IS!J7</f>
        <v/>
      </c>
      <c r="AI12" s="106">
        <f>AH12*0.9603</f>
        <v/>
      </c>
      <c r="AJ12" s="107">
        <f>AI12-AH12</f>
        <v/>
      </c>
      <c r="AK12" s="108">
        <f>IF(AH12=0,"-",AJ12/AH12)</f>
        <v/>
      </c>
      <c r="AL12" s="105">
        <f>IS!K7</f>
        <v/>
      </c>
      <c r="AM12" s="106">
        <f>AL12*1.0185</f>
        <v/>
      </c>
      <c r="AN12" s="107">
        <f>AM12-AL12</f>
        <v/>
      </c>
      <c r="AO12" s="108">
        <f>IF(AL12=0,"-",AN12/AL12)</f>
        <v/>
      </c>
      <c r="AP12" s="105">
        <f>IS!L7</f>
        <v/>
      </c>
      <c r="AQ12" s="106">
        <f>AP12*0.9894</f>
        <v/>
      </c>
      <c r="AR12" s="107">
        <f>AQ12-AP12</f>
        <v/>
      </c>
      <c r="AS12" s="108">
        <f>IF(AP12=0,"-",AR12/AP12)</f>
        <v/>
      </c>
      <c r="AT12" s="105">
        <f>IS!M7</f>
        <v/>
      </c>
      <c r="AU12" s="106">
        <f>AT12*0.9991</f>
        <v/>
      </c>
      <c r="AV12" s="107">
        <f>AU12-AT12</f>
        <v/>
      </c>
      <c r="AW12" s="108">
        <f>IF(AT12=0,"-",AV12/AT12)</f>
        <v/>
      </c>
      <c r="AY12" s="105">
        <f>SUM(B12:AT12)</f>
        <v/>
      </c>
      <c r="AZ12" s="106">
        <f>SUM(C12:AU12)</f>
        <v/>
      </c>
      <c r="BA12" s="107">
        <f>AZ12-AY12</f>
        <v/>
      </c>
      <c r="BB12" s="108">
        <f>IF(AY12=0,"-",BA12/AY12)</f>
        <v/>
      </c>
    </row>
    <row r="13" ht="15" customHeight="1" s="10">
      <c r="A13" s="104" t="inlineStr">
        <is>
          <t xml:space="preserve">  Gross Profit</t>
        </is>
      </c>
      <c r="B13" s="105">
        <f>IS!B8</f>
        <v/>
      </c>
      <c r="C13" s="106">
        <f>B13*0.9894</f>
        <v/>
      </c>
      <c r="D13" s="107">
        <f>C13-B13</f>
        <v/>
      </c>
      <c r="E13" s="108">
        <f>IF(B13=0,"-",D13/B13)</f>
        <v/>
      </c>
      <c r="F13" s="105">
        <f>IS!C8</f>
        <v/>
      </c>
      <c r="G13" s="106">
        <f>F13*1.0302</f>
        <v/>
      </c>
      <c r="H13" s="107">
        <f>G13-F13</f>
        <v/>
      </c>
      <c r="I13" s="108">
        <f>IF(F13=0,"-",H13/F13)</f>
        <v/>
      </c>
      <c r="J13" s="105">
        <f>IS!D8</f>
        <v/>
      </c>
      <c r="K13" s="106">
        <f>J13*1.0098</f>
        <v/>
      </c>
      <c r="L13" s="107">
        <f>K13-J13</f>
        <v/>
      </c>
      <c r="M13" s="108">
        <f>IF(J13=0,"-",L13/J13)</f>
        <v/>
      </c>
      <c r="N13" s="105">
        <f>IS!E8</f>
        <v/>
      </c>
      <c r="O13" s="106">
        <f>N13*1.0506</f>
        <v/>
      </c>
      <c r="P13" s="107">
        <f>O13-N13</f>
        <v/>
      </c>
      <c r="Q13" s="108">
        <f>IF(N13=0,"-",P13/N13)</f>
        <v/>
      </c>
      <c r="R13" s="105">
        <f>IS!F8</f>
        <v/>
      </c>
      <c r="S13" s="106">
        <f>R13*1.0404</f>
        <v/>
      </c>
      <c r="T13" s="107">
        <f>S13-R13</f>
        <v/>
      </c>
      <c r="U13" s="108">
        <f>IF(R13=0,"-",T13/R13)</f>
        <v/>
      </c>
      <c r="V13" s="105">
        <f>IS!G8</f>
        <v/>
      </c>
      <c r="W13" s="106">
        <f>V13*0.9996</f>
        <v/>
      </c>
      <c r="X13" s="107">
        <f>W13-V13</f>
        <v/>
      </c>
      <c r="Y13" s="108">
        <f>IF(V13=0,"-",X13/V13)</f>
        <v/>
      </c>
      <c r="Z13" s="105">
        <f>IS!H8</f>
        <v/>
      </c>
      <c r="AA13" s="106">
        <f>Z13*1.0608</f>
        <v/>
      </c>
      <c r="AB13" s="107">
        <f>AA13-Z13</f>
        <v/>
      </c>
      <c r="AC13" s="108">
        <f>IF(Z13=0,"-",AB13/Z13)</f>
        <v/>
      </c>
      <c r="AD13" s="105">
        <f>IS!I8</f>
        <v/>
      </c>
      <c r="AE13" s="106">
        <f>AD13*1.0302</f>
        <v/>
      </c>
      <c r="AF13" s="107">
        <f>AE13-AD13</f>
        <v/>
      </c>
      <c r="AG13" s="108">
        <f>IF(AD13=0,"-",AF13/AD13)</f>
        <v/>
      </c>
      <c r="AH13" s="105">
        <f>IS!J8</f>
        <v/>
      </c>
      <c r="AI13" s="106">
        <f>AH13*1.0098</f>
        <v/>
      </c>
      <c r="AJ13" s="107">
        <f>AI13-AH13</f>
        <v/>
      </c>
      <c r="AK13" s="108">
        <f>IF(AH13=0,"-",AJ13/AH13)</f>
        <v/>
      </c>
      <c r="AL13" s="105">
        <f>IS!K8</f>
        <v/>
      </c>
      <c r="AM13" s="106">
        <f>AL13*1.071</f>
        <v/>
      </c>
      <c r="AN13" s="107">
        <f>AM13-AL13</f>
        <v/>
      </c>
      <c r="AO13" s="108">
        <f>IF(AL13=0,"-",AN13/AL13)</f>
        <v/>
      </c>
      <c r="AP13" s="105">
        <f>IS!L8</f>
        <v/>
      </c>
      <c r="AQ13" s="106">
        <f>AP13*1.0404</f>
        <v/>
      </c>
      <c r="AR13" s="107">
        <f>AQ13-AP13</f>
        <v/>
      </c>
      <c r="AS13" s="108">
        <f>IF(AP13=0,"-",AR13/AP13)</f>
        <v/>
      </c>
      <c r="AT13" s="105">
        <f>IS!M8</f>
        <v/>
      </c>
      <c r="AU13" s="106">
        <f>AT13*1.0506</f>
        <v/>
      </c>
      <c r="AV13" s="107">
        <f>AU13-AT13</f>
        <v/>
      </c>
      <c r="AW13" s="108">
        <f>IF(AT13=0,"-",AV13/AT13)</f>
        <v/>
      </c>
      <c r="AY13" s="105">
        <f>SUM(B13:AT13)</f>
        <v/>
      </c>
      <c r="AZ13" s="106">
        <f>SUM(C13:AU13)</f>
        <v/>
      </c>
      <c r="BA13" s="107">
        <f>AZ13-AY13</f>
        <v/>
      </c>
      <c r="BB13" s="108">
        <f>IF(AY13=0,"-",BA13/AY13)</f>
        <v/>
      </c>
    </row>
    <row r="14" ht="15" customHeight="1" s="10">
      <c r="A14" s="104" t="n"/>
    </row>
    <row r="15" ht="15.75" customHeight="1" s="10">
      <c r="A15" s="102" t="inlineStr">
        <is>
          <t>OPERATING EXPENSES</t>
        </is>
      </c>
      <c r="B15" s="103" t="n"/>
      <c r="C15" s="103" t="n"/>
      <c r="D15" s="103" t="n"/>
      <c r="E15" s="103" t="n"/>
      <c r="F15" s="103" t="n"/>
      <c r="G15" s="103" t="n"/>
      <c r="H15" s="103" t="n"/>
      <c r="I15" s="103" t="n"/>
      <c r="J15" s="103" t="n"/>
      <c r="K15" s="103" t="n"/>
      <c r="L15" s="103" t="n"/>
      <c r="M15" s="103" t="n"/>
      <c r="N15" s="103" t="n"/>
      <c r="O15" s="103" t="n"/>
      <c r="P15" s="103" t="n"/>
      <c r="Q15" s="103" t="n"/>
      <c r="R15" s="103" t="n"/>
      <c r="S15" s="103" t="n"/>
      <c r="T15" s="103" t="n"/>
      <c r="U15" s="103" t="n"/>
      <c r="V15" s="103" t="n"/>
      <c r="W15" s="103" t="n"/>
      <c r="X15" s="103" t="n"/>
      <c r="Y15" s="103" t="n"/>
      <c r="Z15" s="103" t="n"/>
      <c r="AA15" s="103" t="n"/>
      <c r="AB15" s="103" t="n"/>
      <c r="AC15" s="103" t="n"/>
      <c r="AD15" s="103" t="n"/>
      <c r="AE15" s="103" t="n"/>
      <c r="AF15" s="103" t="n"/>
      <c r="AG15" s="103" t="n"/>
      <c r="AH15" s="103" t="n"/>
      <c r="AI15" s="103" t="n"/>
      <c r="AJ15" s="103" t="n"/>
      <c r="AK15" s="103" t="n"/>
      <c r="AL15" s="103" t="n"/>
      <c r="AM15" s="103" t="n"/>
      <c r="AN15" s="103" t="n"/>
      <c r="AO15" s="103" t="n"/>
      <c r="AP15" s="103" t="n"/>
      <c r="AQ15" s="103" t="n"/>
      <c r="AR15" s="103" t="n"/>
      <c r="AS15" s="103" t="n"/>
      <c r="AT15" s="103" t="n"/>
      <c r="AU15" s="103" t="n"/>
      <c r="AV15" s="103" t="n"/>
      <c r="AW15" s="103" t="n"/>
    </row>
    <row r="16" ht="15" customHeight="1" s="10">
      <c r="A16" s="104" t="inlineStr">
        <is>
          <t xml:space="preserve">  Payroll Expense</t>
        </is>
      </c>
      <c r="B16" s="105">
        <f>IS!B10</f>
        <v/>
      </c>
      <c r="C16" s="106">
        <f>B16*1.0088</f>
        <v/>
      </c>
      <c r="D16" s="107">
        <f>C16-B16</f>
        <v/>
      </c>
      <c r="E16" s="108">
        <f>IF(B16=0,"-",D16/B16)</f>
        <v/>
      </c>
      <c r="F16" s="105">
        <f>IS!C10</f>
        <v/>
      </c>
      <c r="G16" s="106">
        <f>F16*1.0504</f>
        <v/>
      </c>
      <c r="H16" s="107">
        <f>G16-F16</f>
        <v/>
      </c>
      <c r="I16" s="108">
        <f>IF(F16=0,"-",H16/F16)</f>
        <v/>
      </c>
      <c r="J16" s="105">
        <f>IS!D10</f>
        <v/>
      </c>
      <c r="K16" s="106">
        <f>J16*1.0296</f>
        <v/>
      </c>
      <c r="L16" s="107">
        <f>K16-J16</f>
        <v/>
      </c>
      <c r="M16" s="108">
        <f>IF(J16=0,"-",L16/J16)</f>
        <v/>
      </c>
      <c r="N16" s="105">
        <f>IS!E10</f>
        <v/>
      </c>
      <c r="O16" s="106">
        <f>N16*1.0712</f>
        <v/>
      </c>
      <c r="P16" s="107">
        <f>O16-N16</f>
        <v/>
      </c>
      <c r="Q16" s="108">
        <f>IF(N16=0,"-",P16/N16)</f>
        <v/>
      </c>
      <c r="R16" s="105">
        <f>IS!F10</f>
        <v/>
      </c>
      <c r="S16" s="106">
        <f>R16*1.0608</f>
        <v/>
      </c>
      <c r="T16" s="107">
        <f>S16-R16</f>
        <v/>
      </c>
      <c r="U16" s="108">
        <f>IF(R16=0,"-",T16/R16)</f>
        <v/>
      </c>
      <c r="V16" s="105">
        <f>IS!G10</f>
        <v/>
      </c>
      <c r="W16" s="106">
        <f>V16*1.0192</f>
        <v/>
      </c>
      <c r="X16" s="107">
        <f>W16-V16</f>
        <v/>
      </c>
      <c r="Y16" s="108">
        <f>IF(V16=0,"-",X16/V16)</f>
        <v/>
      </c>
      <c r="Z16" s="105">
        <f>IS!H10</f>
        <v/>
      </c>
      <c r="AA16" s="106">
        <f>Z16*1.0816</f>
        <v/>
      </c>
      <c r="AB16" s="107">
        <f>AA16-Z16</f>
        <v/>
      </c>
      <c r="AC16" s="108">
        <f>IF(Z16=0,"-",AB16/Z16)</f>
        <v/>
      </c>
      <c r="AD16" s="105">
        <f>IS!I10</f>
        <v/>
      </c>
      <c r="AE16" s="106">
        <f>AD16*1.0504</f>
        <v/>
      </c>
      <c r="AF16" s="107">
        <f>AE16-AD16</f>
        <v/>
      </c>
      <c r="AG16" s="108">
        <f>IF(AD16=0,"-",AF16/AD16)</f>
        <v/>
      </c>
      <c r="AH16" s="105">
        <f>IS!J10</f>
        <v/>
      </c>
      <c r="AI16" s="106">
        <f>AH16*1.0296</f>
        <v/>
      </c>
      <c r="AJ16" s="107">
        <f>AI16-AH16</f>
        <v/>
      </c>
      <c r="AK16" s="108">
        <f>IF(AH16=0,"-",AJ16/AH16)</f>
        <v/>
      </c>
      <c r="AL16" s="105">
        <f>IS!K10</f>
        <v/>
      </c>
      <c r="AM16" s="106">
        <f>AL16*1.092</f>
        <v/>
      </c>
      <c r="AN16" s="107">
        <f>AM16-AL16</f>
        <v/>
      </c>
      <c r="AO16" s="108">
        <f>IF(AL16=0,"-",AN16/AL16)</f>
        <v/>
      </c>
      <c r="AP16" s="105">
        <f>IS!L10</f>
        <v/>
      </c>
      <c r="AQ16" s="106">
        <f>AP16*1.0608</f>
        <v/>
      </c>
      <c r="AR16" s="107">
        <f>AQ16-AP16</f>
        <v/>
      </c>
      <c r="AS16" s="108">
        <f>IF(AP16=0,"-",AR16/AP16)</f>
        <v/>
      </c>
      <c r="AT16" s="105">
        <f>IS!M10</f>
        <v/>
      </c>
      <c r="AU16" s="106">
        <f>AT16*1.0712</f>
        <v/>
      </c>
      <c r="AV16" s="107">
        <f>AU16-AT16</f>
        <v/>
      </c>
      <c r="AW16" s="108">
        <f>IF(AT16=0,"-",AV16/AT16)</f>
        <v/>
      </c>
      <c r="AY16" s="105">
        <f>SUM(B16:AT16)</f>
        <v/>
      </c>
      <c r="AZ16" s="106">
        <f>SUM(C16:AU16)</f>
        <v/>
      </c>
      <c r="BA16" s="107">
        <f>AZ16-AY16</f>
        <v/>
      </c>
      <c r="BB16" s="108">
        <f>IF(AY16=0,"-",BA16/AY16)</f>
        <v/>
      </c>
    </row>
    <row r="17" ht="15" customHeight="1" s="10">
      <c r="A17" s="104" t="inlineStr">
        <is>
          <t xml:space="preserve">  Non-Payroll Opex</t>
        </is>
      </c>
      <c r="B17" s="105">
        <f>IS!B11</f>
        <v/>
      </c>
      <c r="C17" s="106">
        <f>B17*0.9506</f>
        <v/>
      </c>
      <c r="D17" s="107">
        <f>C17-B17</f>
        <v/>
      </c>
      <c r="E17" s="108">
        <f>IF(B17=0,"-",D17/B17)</f>
        <v/>
      </c>
      <c r="F17" s="105">
        <f>IS!C11</f>
        <v/>
      </c>
      <c r="G17" s="106">
        <f>F17*0.9898</f>
        <v/>
      </c>
      <c r="H17" s="107">
        <f>G17-F17</f>
        <v/>
      </c>
      <c r="I17" s="108">
        <f>IF(F17=0,"-",H17/F17)</f>
        <v/>
      </c>
      <c r="J17" s="105">
        <f>IS!D11</f>
        <v/>
      </c>
      <c r="K17" s="106">
        <f>J17*0.9702</f>
        <v/>
      </c>
      <c r="L17" s="107">
        <f>K17-J17</f>
        <v/>
      </c>
      <c r="M17" s="108">
        <f>IF(J17=0,"-",L17/J17)</f>
        <v/>
      </c>
      <c r="N17" s="105">
        <f>IS!E11</f>
        <v/>
      </c>
      <c r="O17" s="106">
        <f>N17*1.0094</f>
        <v/>
      </c>
      <c r="P17" s="107">
        <f>O17-N17</f>
        <v/>
      </c>
      <c r="Q17" s="108">
        <f>IF(N17=0,"-",P17/N17)</f>
        <v/>
      </c>
      <c r="R17" s="105">
        <f>IS!F11</f>
        <v/>
      </c>
      <c r="S17" s="106">
        <f>R17*0.9996</f>
        <v/>
      </c>
      <c r="T17" s="107">
        <f>S17-R17</f>
        <v/>
      </c>
      <c r="U17" s="108">
        <f>IF(R17=0,"-",T17/R17)</f>
        <v/>
      </c>
      <c r="V17" s="105">
        <f>IS!G11</f>
        <v/>
      </c>
      <c r="W17" s="106">
        <f>V17*0.9604</f>
        <v/>
      </c>
      <c r="X17" s="107">
        <f>W17-V17</f>
        <v/>
      </c>
      <c r="Y17" s="108">
        <f>IF(V17=0,"-",X17/V17)</f>
        <v/>
      </c>
      <c r="Z17" s="105">
        <f>IS!H11</f>
        <v/>
      </c>
      <c r="AA17" s="106">
        <f>Z17*1.0192</f>
        <v/>
      </c>
      <c r="AB17" s="107">
        <f>AA17-Z17</f>
        <v/>
      </c>
      <c r="AC17" s="108">
        <f>IF(Z17=0,"-",AB17/Z17)</f>
        <v/>
      </c>
      <c r="AD17" s="105">
        <f>IS!I11</f>
        <v/>
      </c>
      <c r="AE17" s="106">
        <f>AD17*0.9898</f>
        <v/>
      </c>
      <c r="AF17" s="107">
        <f>AE17-AD17</f>
        <v/>
      </c>
      <c r="AG17" s="108">
        <f>IF(AD17=0,"-",AF17/AD17)</f>
        <v/>
      </c>
      <c r="AH17" s="105">
        <f>IS!J11</f>
        <v/>
      </c>
      <c r="AI17" s="106">
        <f>AH17*0.9702</f>
        <v/>
      </c>
      <c r="AJ17" s="107">
        <f>AI17-AH17</f>
        <v/>
      </c>
      <c r="AK17" s="108">
        <f>IF(AH17=0,"-",AJ17/AH17)</f>
        <v/>
      </c>
      <c r="AL17" s="105">
        <f>IS!K11</f>
        <v/>
      </c>
      <c r="AM17" s="106">
        <f>AL17*1.029</f>
        <v/>
      </c>
      <c r="AN17" s="107">
        <f>AM17-AL17</f>
        <v/>
      </c>
      <c r="AO17" s="108">
        <f>IF(AL17=0,"-",AN17/AL17)</f>
        <v/>
      </c>
      <c r="AP17" s="105">
        <f>IS!L11</f>
        <v/>
      </c>
      <c r="AQ17" s="106">
        <f>AP17*0.9996</f>
        <v/>
      </c>
      <c r="AR17" s="107">
        <f>AQ17-AP17</f>
        <v/>
      </c>
      <c r="AS17" s="108">
        <f>IF(AP17=0,"-",AR17/AP17)</f>
        <v/>
      </c>
      <c r="AT17" s="105">
        <f>IS!M11</f>
        <v/>
      </c>
      <c r="AU17" s="106">
        <f>AT17*1.0094</f>
        <v/>
      </c>
      <c r="AV17" s="107">
        <f>AU17-AT17</f>
        <v/>
      </c>
      <c r="AW17" s="108">
        <f>IF(AT17=0,"-",AV17/AT17)</f>
        <v/>
      </c>
      <c r="AY17" s="105">
        <f>SUM(B17:AT17)</f>
        <v/>
      </c>
      <c r="AZ17" s="106">
        <f>SUM(C17:AU17)</f>
        <v/>
      </c>
      <c r="BA17" s="107">
        <f>AZ17-AY17</f>
        <v/>
      </c>
      <c r="BB17" s="108">
        <f>IF(AY17=0,"-",BA17/AY17)</f>
        <v/>
      </c>
    </row>
    <row r="18" ht="15" customHeight="1" s="10">
      <c r="A18" s="109" t="inlineStr">
        <is>
          <t xml:space="preserve">  EBITDA</t>
        </is>
      </c>
      <c r="B18" s="110">
        <f>IS!B12</f>
        <v/>
      </c>
      <c r="C18" s="111">
        <f>B18*0.9991</f>
        <v/>
      </c>
      <c r="D18" s="112">
        <f>C18-B18</f>
        <v/>
      </c>
      <c r="E18" s="113">
        <f>IF(B18=0,"-",D18/B18)</f>
        <v/>
      </c>
      <c r="F18" s="110">
        <f>IS!C12</f>
        <v/>
      </c>
      <c r="G18" s="111">
        <f>F18*1.0403</f>
        <v/>
      </c>
      <c r="H18" s="112">
        <f>G18-F18</f>
        <v/>
      </c>
      <c r="I18" s="113">
        <f>IF(F18=0,"-",H18/F18)</f>
        <v/>
      </c>
      <c r="J18" s="110">
        <f>IS!D12</f>
        <v/>
      </c>
      <c r="K18" s="111">
        <f>J18*1.0197</f>
        <v/>
      </c>
      <c r="L18" s="112">
        <f>K18-J18</f>
        <v/>
      </c>
      <c r="M18" s="113">
        <f>IF(J18=0,"-",L18/J18)</f>
        <v/>
      </c>
      <c r="N18" s="110">
        <f>IS!E12</f>
        <v/>
      </c>
      <c r="O18" s="111">
        <f>N18*1.0609</f>
        <v/>
      </c>
      <c r="P18" s="112">
        <f>O18-N18</f>
        <v/>
      </c>
      <c r="Q18" s="113">
        <f>IF(N18=0,"-",P18/N18)</f>
        <v/>
      </c>
      <c r="R18" s="110">
        <f>IS!F12</f>
        <v/>
      </c>
      <c r="S18" s="111">
        <f>R18*1.0506</f>
        <v/>
      </c>
      <c r="T18" s="112">
        <f>S18-R18</f>
        <v/>
      </c>
      <c r="U18" s="113">
        <f>IF(R18=0,"-",T18/R18)</f>
        <v/>
      </c>
      <c r="V18" s="110">
        <f>IS!G12</f>
        <v/>
      </c>
      <c r="W18" s="111">
        <f>V18*1.0094</f>
        <v/>
      </c>
      <c r="X18" s="112">
        <f>W18-V18</f>
        <v/>
      </c>
      <c r="Y18" s="113">
        <f>IF(V18=0,"-",X18/V18)</f>
        <v/>
      </c>
      <c r="Z18" s="110">
        <f>IS!H12</f>
        <v/>
      </c>
      <c r="AA18" s="111">
        <f>Z18*1.0712</f>
        <v/>
      </c>
      <c r="AB18" s="112">
        <f>AA18-Z18</f>
        <v/>
      </c>
      <c r="AC18" s="113">
        <f>IF(Z18=0,"-",AB18/Z18)</f>
        <v/>
      </c>
      <c r="AD18" s="110">
        <f>IS!I12</f>
        <v/>
      </c>
      <c r="AE18" s="111">
        <f>AD18*1.0403</f>
        <v/>
      </c>
      <c r="AF18" s="112">
        <f>AE18-AD18</f>
        <v/>
      </c>
      <c r="AG18" s="113">
        <f>IF(AD18=0,"-",AF18/AD18)</f>
        <v/>
      </c>
      <c r="AH18" s="110">
        <f>IS!J12</f>
        <v/>
      </c>
      <c r="AI18" s="111">
        <f>AH18*1.0197</f>
        <v/>
      </c>
      <c r="AJ18" s="112">
        <f>AI18-AH18</f>
        <v/>
      </c>
      <c r="AK18" s="113">
        <f>IF(AH18=0,"-",AJ18/AH18)</f>
        <v/>
      </c>
      <c r="AL18" s="110">
        <f>IS!K12</f>
        <v/>
      </c>
      <c r="AM18" s="111">
        <f>AL18*1.0815</f>
        <v/>
      </c>
      <c r="AN18" s="112">
        <f>AM18-AL18</f>
        <v/>
      </c>
      <c r="AO18" s="113">
        <f>IF(AL18=0,"-",AN18/AL18)</f>
        <v/>
      </c>
      <c r="AP18" s="110">
        <f>IS!L12</f>
        <v/>
      </c>
      <c r="AQ18" s="111">
        <f>AP18*1.0506</f>
        <v/>
      </c>
      <c r="AR18" s="112">
        <f>AQ18-AP18</f>
        <v/>
      </c>
      <c r="AS18" s="113">
        <f>IF(AP18=0,"-",AR18/AP18)</f>
        <v/>
      </c>
      <c r="AT18" s="110">
        <f>IS!M12</f>
        <v/>
      </c>
      <c r="AU18" s="111">
        <f>AT18*1.0609</f>
        <v/>
      </c>
      <c r="AV18" s="112">
        <f>AU18-AT18</f>
        <v/>
      </c>
      <c r="AW18" s="113">
        <f>IF(AT18=0,"-",AV18/AT18)</f>
        <v/>
      </c>
      <c r="AY18" s="105">
        <f>SUM(B18:AT18)</f>
        <v/>
      </c>
      <c r="AZ18" s="106">
        <f>SUM(C18:AU18)</f>
        <v/>
      </c>
      <c r="BA18" s="107">
        <f>AZ18-AY18</f>
        <v/>
      </c>
      <c r="BB18" s="108">
        <f>IF(AY18=0,"-",BA18/AY18)</f>
        <v/>
      </c>
    </row>
    <row r="19" ht="15" customHeight="1" s="10">
      <c r="A19" s="104" t="n"/>
    </row>
    <row r="20" ht="15.75" customHeight="1" s="10">
      <c r="A20" s="102" t="inlineStr">
        <is>
          <t>BELOW THE LINE</t>
        </is>
      </c>
      <c r="B20" s="103" t="n"/>
      <c r="C20" s="103" t="n"/>
      <c r="D20" s="103" t="n"/>
      <c r="E20" s="103" t="n"/>
      <c r="F20" s="103" t="n"/>
      <c r="G20" s="103" t="n"/>
      <c r="H20" s="103" t="n"/>
      <c r="I20" s="103" t="n"/>
      <c r="J20" s="103" t="n"/>
      <c r="K20" s="103" t="n"/>
      <c r="L20" s="103" t="n"/>
      <c r="M20" s="103" t="n"/>
      <c r="N20" s="103" t="n"/>
      <c r="O20" s="103" t="n"/>
      <c r="P20" s="103" t="n"/>
      <c r="Q20" s="103" t="n"/>
      <c r="R20" s="103" t="n"/>
      <c r="S20" s="103" t="n"/>
      <c r="T20" s="103" t="n"/>
      <c r="U20" s="103" t="n"/>
      <c r="V20" s="103" t="n"/>
      <c r="W20" s="103" t="n"/>
      <c r="X20" s="103" t="n"/>
      <c r="Y20" s="103" t="n"/>
      <c r="Z20" s="103" t="n"/>
      <c r="AA20" s="103" t="n"/>
      <c r="AB20" s="103" t="n"/>
      <c r="AC20" s="103" t="n"/>
      <c r="AD20" s="103" t="n"/>
      <c r="AE20" s="103" t="n"/>
      <c r="AF20" s="103" t="n"/>
      <c r="AG20" s="103" t="n"/>
      <c r="AH20" s="103" t="n"/>
      <c r="AI20" s="103" t="n"/>
      <c r="AJ20" s="103" t="n"/>
      <c r="AK20" s="103" t="n"/>
      <c r="AL20" s="103" t="n"/>
      <c r="AM20" s="103" t="n"/>
      <c r="AN20" s="103" t="n"/>
      <c r="AO20" s="103" t="n"/>
      <c r="AP20" s="103" t="n"/>
      <c r="AQ20" s="103" t="n"/>
      <c r="AR20" s="103" t="n"/>
      <c r="AS20" s="103" t="n"/>
      <c r="AT20" s="103" t="n"/>
      <c r="AU20" s="103" t="n"/>
      <c r="AV20" s="103" t="n"/>
      <c r="AW20" s="103" t="n"/>
    </row>
    <row r="21" ht="15" customHeight="1" s="10">
      <c r="A21" s="104" t="inlineStr">
        <is>
          <t xml:space="preserve">  Depreciation</t>
        </is>
      </c>
      <c r="B21" s="105">
        <f>IS!B13</f>
        <v/>
      </c>
      <c r="C21" s="106">
        <f>B21*0.97</f>
        <v/>
      </c>
      <c r="D21" s="107">
        <f>C21-B21</f>
        <v/>
      </c>
      <c r="E21" s="108">
        <f>IF(B21=0,"-",D21/B21)</f>
        <v/>
      </c>
      <c r="F21" s="105">
        <f>IS!C13</f>
        <v/>
      </c>
      <c r="G21" s="106">
        <f>F21*1.01</f>
        <v/>
      </c>
      <c r="H21" s="107">
        <f>G21-F21</f>
        <v/>
      </c>
      <c r="I21" s="108">
        <f>IF(F21=0,"-",H21/F21)</f>
        <v/>
      </c>
      <c r="J21" s="105">
        <f>IS!D13</f>
        <v/>
      </c>
      <c r="K21" s="106">
        <f>J21*0.99</f>
        <v/>
      </c>
      <c r="L21" s="107">
        <f>K21-J21</f>
        <v/>
      </c>
      <c r="M21" s="108">
        <f>IF(J21=0,"-",L21/J21)</f>
        <v/>
      </c>
      <c r="N21" s="105">
        <f>IS!E13</f>
        <v/>
      </c>
      <c r="O21" s="106">
        <f>N21*1.03</f>
        <v/>
      </c>
      <c r="P21" s="107">
        <f>O21-N21</f>
        <v/>
      </c>
      <c r="Q21" s="108">
        <f>IF(N21=0,"-",P21/N21)</f>
        <v/>
      </c>
      <c r="R21" s="105">
        <f>IS!F13</f>
        <v/>
      </c>
      <c r="S21" s="106">
        <f>R21*1.02</f>
        <v/>
      </c>
      <c r="T21" s="107">
        <f>S21-R21</f>
        <v/>
      </c>
      <c r="U21" s="108">
        <f>IF(R21=0,"-",T21/R21)</f>
        <v/>
      </c>
      <c r="V21" s="105">
        <f>IS!G13</f>
        <v/>
      </c>
      <c r="W21" s="106">
        <f>V21*0.98</f>
        <v/>
      </c>
      <c r="X21" s="107">
        <f>W21-V21</f>
        <v/>
      </c>
      <c r="Y21" s="108">
        <f>IF(V21=0,"-",X21/V21)</f>
        <v/>
      </c>
      <c r="Z21" s="105">
        <f>IS!H13</f>
        <v/>
      </c>
      <c r="AA21" s="106">
        <f>Z21*1.04</f>
        <v/>
      </c>
      <c r="AB21" s="107">
        <f>AA21-Z21</f>
        <v/>
      </c>
      <c r="AC21" s="108">
        <f>IF(Z21=0,"-",AB21/Z21)</f>
        <v/>
      </c>
      <c r="AD21" s="105">
        <f>IS!I13</f>
        <v/>
      </c>
      <c r="AE21" s="106">
        <f>AD21*1.01</f>
        <v/>
      </c>
      <c r="AF21" s="107">
        <f>AE21-AD21</f>
        <v/>
      </c>
      <c r="AG21" s="108">
        <f>IF(AD21=0,"-",AF21/AD21)</f>
        <v/>
      </c>
      <c r="AH21" s="105">
        <f>IS!J13</f>
        <v/>
      </c>
      <c r="AI21" s="106">
        <f>AH21*0.99</f>
        <v/>
      </c>
      <c r="AJ21" s="107">
        <f>AI21-AH21</f>
        <v/>
      </c>
      <c r="AK21" s="108">
        <f>IF(AH21=0,"-",AJ21/AH21)</f>
        <v/>
      </c>
      <c r="AL21" s="105">
        <f>IS!K13</f>
        <v/>
      </c>
      <c r="AM21" s="106">
        <f>AL21*1.05</f>
        <v/>
      </c>
      <c r="AN21" s="107">
        <f>AM21-AL21</f>
        <v/>
      </c>
      <c r="AO21" s="108">
        <f>IF(AL21=0,"-",AN21/AL21)</f>
        <v/>
      </c>
      <c r="AP21" s="105">
        <f>IS!L13</f>
        <v/>
      </c>
      <c r="AQ21" s="106">
        <f>AP21*1.02</f>
        <v/>
      </c>
      <c r="AR21" s="107">
        <f>AQ21-AP21</f>
        <v/>
      </c>
      <c r="AS21" s="108">
        <f>IF(AP21=0,"-",AR21/AP21)</f>
        <v/>
      </c>
      <c r="AT21" s="105">
        <f>IS!M13</f>
        <v/>
      </c>
      <c r="AU21" s="106">
        <f>AT21*1.03</f>
        <v/>
      </c>
      <c r="AV21" s="107">
        <f>AU21-AT21</f>
        <v/>
      </c>
      <c r="AW21" s="108">
        <f>IF(AT21=0,"-",AV21/AT21)</f>
        <v/>
      </c>
      <c r="AY21" s="105">
        <f>SUM(B21:AT21)</f>
        <v/>
      </c>
      <c r="AZ21" s="106">
        <f>SUM(C21:AU21)</f>
        <v/>
      </c>
      <c r="BA21" s="107">
        <f>AZ21-AY21</f>
        <v/>
      </c>
      <c r="BB21" s="108">
        <f>IF(AY21=0,"-",BA21/AY21)</f>
        <v/>
      </c>
    </row>
    <row r="22" ht="15" customHeight="1" s="10">
      <c r="A22" s="104" t="inlineStr">
        <is>
          <t xml:space="preserve">  EBIT</t>
        </is>
      </c>
      <c r="B22" s="105">
        <f>IS!B14</f>
        <v/>
      </c>
      <c r="C22" s="106">
        <f>B22*1.0185</f>
        <v/>
      </c>
      <c r="D22" s="107">
        <f>C22-B22</f>
        <v/>
      </c>
      <c r="E22" s="108">
        <f>IF(B22=0,"-",D22/B22)</f>
        <v/>
      </c>
      <c r="F22" s="105">
        <f>IS!C14</f>
        <v/>
      </c>
      <c r="G22" s="106">
        <f>F22*1.0605</f>
        <v/>
      </c>
      <c r="H22" s="107">
        <f>G22-F22</f>
        <v/>
      </c>
      <c r="I22" s="108">
        <f>IF(F22=0,"-",H22/F22)</f>
        <v/>
      </c>
      <c r="J22" s="105">
        <f>IS!D14</f>
        <v/>
      </c>
      <c r="K22" s="106">
        <f>J22*1.0395</f>
        <v/>
      </c>
      <c r="L22" s="107">
        <f>K22-J22</f>
        <v/>
      </c>
      <c r="M22" s="108">
        <f>IF(J22=0,"-",L22/J22)</f>
        <v/>
      </c>
      <c r="N22" s="105">
        <f>IS!E14</f>
        <v/>
      </c>
      <c r="O22" s="106">
        <f>N22*1.0815</f>
        <v/>
      </c>
      <c r="P22" s="107">
        <f>O22-N22</f>
        <v/>
      </c>
      <c r="Q22" s="108">
        <f>IF(N22=0,"-",P22/N22)</f>
        <v/>
      </c>
      <c r="R22" s="105">
        <f>IS!F14</f>
        <v/>
      </c>
      <c r="S22" s="106">
        <f>R22*1.071</f>
        <v/>
      </c>
      <c r="T22" s="107">
        <f>S22-R22</f>
        <v/>
      </c>
      <c r="U22" s="108">
        <f>IF(R22=0,"-",T22/R22)</f>
        <v/>
      </c>
      <c r="V22" s="105">
        <f>IS!G14</f>
        <v/>
      </c>
      <c r="W22" s="106">
        <f>V22*1.029</f>
        <v/>
      </c>
      <c r="X22" s="107">
        <f>W22-V22</f>
        <v/>
      </c>
      <c r="Y22" s="108">
        <f>IF(V22=0,"-",X22/V22)</f>
        <v/>
      </c>
      <c r="Z22" s="105">
        <f>IS!H14</f>
        <v/>
      </c>
      <c r="AA22" s="106">
        <f>Z22*1.092</f>
        <v/>
      </c>
      <c r="AB22" s="107">
        <f>AA22-Z22</f>
        <v/>
      </c>
      <c r="AC22" s="108">
        <f>IF(Z22=0,"-",AB22/Z22)</f>
        <v/>
      </c>
      <c r="AD22" s="105">
        <f>IS!I14</f>
        <v/>
      </c>
      <c r="AE22" s="106">
        <f>AD22*1.0605</f>
        <v/>
      </c>
      <c r="AF22" s="107">
        <f>AE22-AD22</f>
        <v/>
      </c>
      <c r="AG22" s="108">
        <f>IF(AD22=0,"-",AF22/AD22)</f>
        <v/>
      </c>
      <c r="AH22" s="105">
        <f>IS!J14</f>
        <v/>
      </c>
      <c r="AI22" s="106">
        <f>AH22*1.0395</f>
        <v/>
      </c>
      <c r="AJ22" s="107">
        <f>AI22-AH22</f>
        <v/>
      </c>
      <c r="AK22" s="108">
        <f>IF(AH22=0,"-",AJ22/AH22)</f>
        <v/>
      </c>
      <c r="AL22" s="105">
        <f>IS!K14</f>
        <v/>
      </c>
      <c r="AM22" s="106">
        <f>AL22*1.1025</f>
        <v/>
      </c>
      <c r="AN22" s="107">
        <f>AM22-AL22</f>
        <v/>
      </c>
      <c r="AO22" s="108">
        <f>IF(AL22=0,"-",AN22/AL22)</f>
        <v/>
      </c>
      <c r="AP22" s="105">
        <f>IS!L14</f>
        <v/>
      </c>
      <c r="AQ22" s="106">
        <f>AP22*1.071</f>
        <v/>
      </c>
      <c r="AR22" s="107">
        <f>AQ22-AP22</f>
        <v/>
      </c>
      <c r="AS22" s="108">
        <f>IF(AP22=0,"-",AR22/AP22)</f>
        <v/>
      </c>
      <c r="AT22" s="105">
        <f>IS!M14</f>
        <v/>
      </c>
      <c r="AU22" s="106">
        <f>AT22*1.0815</f>
        <v/>
      </c>
      <c r="AV22" s="107">
        <f>AU22-AT22</f>
        <v/>
      </c>
      <c r="AW22" s="108">
        <f>IF(AT22=0,"-",AV22/AT22)</f>
        <v/>
      </c>
      <c r="AY22" s="105">
        <f>SUM(B22:AT22)</f>
        <v/>
      </c>
      <c r="AZ22" s="106">
        <f>SUM(C22:AU22)</f>
        <v/>
      </c>
      <c r="BA22" s="107">
        <f>AZ22-AY22</f>
        <v/>
      </c>
      <c r="BB22" s="108">
        <f>IF(AY22=0,"-",BA22/AY22)</f>
        <v/>
      </c>
    </row>
    <row r="23" ht="15" customHeight="1" s="10">
      <c r="A23" s="104" t="inlineStr">
        <is>
          <t xml:space="preserve">  Taxes</t>
        </is>
      </c>
      <c r="B23" s="105">
        <f>IS!B17</f>
        <v/>
      </c>
      <c r="C23" s="106">
        <f>B23*0.9215</f>
        <v/>
      </c>
      <c r="D23" s="107">
        <f>C23-B23</f>
        <v/>
      </c>
      <c r="E23" s="108">
        <f>IF(B23=0,"-",D23/B23)</f>
        <v/>
      </c>
      <c r="F23" s="105">
        <f>IS!C17</f>
        <v/>
      </c>
      <c r="G23" s="106">
        <f>F23*0.9595</f>
        <v/>
      </c>
      <c r="H23" s="107">
        <f>G23-F23</f>
        <v/>
      </c>
      <c r="I23" s="108">
        <f>IF(F23=0,"-",H23/F23)</f>
        <v/>
      </c>
      <c r="J23" s="105">
        <f>IS!D17</f>
        <v/>
      </c>
      <c r="K23" s="106">
        <f>J23*0.9405</f>
        <v/>
      </c>
      <c r="L23" s="107">
        <f>K23-J23</f>
        <v/>
      </c>
      <c r="M23" s="108">
        <f>IF(J23=0,"-",L23/J23)</f>
        <v/>
      </c>
      <c r="N23" s="105">
        <f>IS!E17</f>
        <v/>
      </c>
      <c r="O23" s="106">
        <f>N23*0.9785</f>
        <v/>
      </c>
      <c r="P23" s="107">
        <f>O23-N23</f>
        <v/>
      </c>
      <c r="Q23" s="108">
        <f>IF(N23=0,"-",P23/N23)</f>
        <v/>
      </c>
      <c r="R23" s="105">
        <f>IS!F17</f>
        <v/>
      </c>
      <c r="S23" s="106">
        <f>R23*0.969</f>
        <v/>
      </c>
      <c r="T23" s="107">
        <f>S23-R23</f>
        <v/>
      </c>
      <c r="U23" s="108">
        <f>IF(R23=0,"-",T23/R23)</f>
        <v/>
      </c>
      <c r="V23" s="105">
        <f>IS!G17</f>
        <v/>
      </c>
      <c r="W23" s="106">
        <f>V23*0.931</f>
        <v/>
      </c>
      <c r="X23" s="107">
        <f>W23-V23</f>
        <v/>
      </c>
      <c r="Y23" s="108">
        <f>IF(V23=0,"-",X23/V23)</f>
        <v/>
      </c>
      <c r="Z23" s="105">
        <f>IS!H17</f>
        <v/>
      </c>
      <c r="AA23" s="106">
        <f>Z23*0.988</f>
        <v/>
      </c>
      <c r="AB23" s="107">
        <f>AA23-Z23</f>
        <v/>
      </c>
      <c r="AC23" s="108">
        <f>IF(Z23=0,"-",AB23/Z23)</f>
        <v/>
      </c>
      <c r="AD23" s="105">
        <f>IS!I17</f>
        <v/>
      </c>
      <c r="AE23" s="106">
        <f>AD23*0.9595</f>
        <v/>
      </c>
      <c r="AF23" s="107">
        <f>AE23-AD23</f>
        <v/>
      </c>
      <c r="AG23" s="108">
        <f>IF(AD23=0,"-",AF23/AD23)</f>
        <v/>
      </c>
      <c r="AH23" s="105">
        <f>IS!J17</f>
        <v/>
      </c>
      <c r="AI23" s="106">
        <f>AH23*0.9405</f>
        <v/>
      </c>
      <c r="AJ23" s="107">
        <f>AI23-AH23</f>
        <v/>
      </c>
      <c r="AK23" s="108">
        <f>IF(AH23=0,"-",AJ23/AH23)</f>
        <v/>
      </c>
      <c r="AL23" s="105">
        <f>IS!K17</f>
        <v/>
      </c>
      <c r="AM23" s="106">
        <f>AL23*0.9975</f>
        <v/>
      </c>
      <c r="AN23" s="107">
        <f>AM23-AL23</f>
        <v/>
      </c>
      <c r="AO23" s="108">
        <f>IF(AL23=0,"-",AN23/AL23)</f>
        <v/>
      </c>
      <c r="AP23" s="105">
        <f>IS!L17</f>
        <v/>
      </c>
      <c r="AQ23" s="106">
        <f>AP23*0.969</f>
        <v/>
      </c>
      <c r="AR23" s="107">
        <f>AQ23-AP23</f>
        <v/>
      </c>
      <c r="AS23" s="108">
        <f>IF(AP23=0,"-",AR23/AP23)</f>
        <v/>
      </c>
      <c r="AT23" s="105">
        <f>IS!M17</f>
        <v/>
      </c>
      <c r="AU23" s="106">
        <f>AT23*0.9785</f>
        <v/>
      </c>
      <c r="AV23" s="107">
        <f>AU23-AT23</f>
        <v/>
      </c>
      <c r="AW23" s="108">
        <f>IF(AT23=0,"-",AV23/AT23)</f>
        <v/>
      </c>
      <c r="AY23" s="105">
        <f>SUM(B23:AT23)</f>
        <v/>
      </c>
      <c r="AZ23" s="106">
        <f>SUM(C23:AU23)</f>
        <v/>
      </c>
      <c r="BA23" s="107">
        <f>AZ23-AY23</f>
        <v/>
      </c>
      <c r="BB23" s="108">
        <f>IF(AY23=0,"-",BA23/AY23)</f>
        <v/>
      </c>
    </row>
    <row r="24" ht="15" customHeight="1" s="10">
      <c r="A24" s="109" t="inlineStr">
        <is>
          <t xml:space="preserve">  Net Income</t>
        </is>
      </c>
      <c r="B24" s="110">
        <f>IS!B18</f>
        <v/>
      </c>
      <c r="C24" s="111">
        <f>B24*1.0476</f>
        <v/>
      </c>
      <c r="D24" s="112">
        <f>C24-B24</f>
        <v/>
      </c>
      <c r="E24" s="113">
        <f>IF(B24=0,"-",D24/B24)</f>
        <v/>
      </c>
      <c r="F24" s="110">
        <f>IS!C18</f>
        <v/>
      </c>
      <c r="G24" s="111">
        <f>F24*1.0908</f>
        <v/>
      </c>
      <c r="H24" s="112">
        <f>G24-F24</f>
        <v/>
      </c>
      <c r="I24" s="113">
        <f>IF(F24=0,"-",H24/F24)</f>
        <v/>
      </c>
      <c r="J24" s="110">
        <f>IS!D18</f>
        <v/>
      </c>
      <c r="K24" s="111">
        <f>J24*1.0692</f>
        <v/>
      </c>
      <c r="L24" s="112">
        <f>K24-J24</f>
        <v/>
      </c>
      <c r="M24" s="113">
        <f>IF(J24=0,"-",L24/J24)</f>
        <v/>
      </c>
      <c r="N24" s="110">
        <f>IS!E18</f>
        <v/>
      </c>
      <c r="O24" s="111">
        <f>N24*1.1124</f>
        <v/>
      </c>
      <c r="P24" s="112">
        <f>O24-N24</f>
        <v/>
      </c>
      <c r="Q24" s="113">
        <f>IF(N24=0,"-",P24/N24)</f>
        <v/>
      </c>
      <c r="R24" s="110">
        <f>IS!F18</f>
        <v/>
      </c>
      <c r="S24" s="111">
        <f>R24*1.1016</f>
        <v/>
      </c>
      <c r="T24" s="112">
        <f>S24-R24</f>
        <v/>
      </c>
      <c r="U24" s="113">
        <f>IF(R24=0,"-",T24/R24)</f>
        <v/>
      </c>
      <c r="V24" s="110">
        <f>IS!G18</f>
        <v/>
      </c>
      <c r="W24" s="111">
        <f>V24*1.0584</f>
        <v/>
      </c>
      <c r="X24" s="112">
        <f>W24-V24</f>
        <v/>
      </c>
      <c r="Y24" s="113">
        <f>IF(V24=0,"-",X24/V24)</f>
        <v/>
      </c>
      <c r="Z24" s="110">
        <f>IS!H18</f>
        <v/>
      </c>
      <c r="AA24" s="111">
        <f>Z24*1.1232</f>
        <v/>
      </c>
      <c r="AB24" s="112">
        <f>AA24-Z24</f>
        <v/>
      </c>
      <c r="AC24" s="113">
        <f>IF(Z24=0,"-",AB24/Z24)</f>
        <v/>
      </c>
      <c r="AD24" s="110">
        <f>IS!I18</f>
        <v/>
      </c>
      <c r="AE24" s="111">
        <f>AD24*1.0908</f>
        <v/>
      </c>
      <c r="AF24" s="112">
        <f>AE24-AD24</f>
        <v/>
      </c>
      <c r="AG24" s="113">
        <f>IF(AD24=0,"-",AF24/AD24)</f>
        <v/>
      </c>
      <c r="AH24" s="110">
        <f>IS!J18</f>
        <v/>
      </c>
      <c r="AI24" s="111">
        <f>AH24*1.0692</f>
        <v/>
      </c>
      <c r="AJ24" s="112">
        <f>AI24-AH24</f>
        <v/>
      </c>
      <c r="AK24" s="113">
        <f>IF(AH24=0,"-",AJ24/AH24)</f>
        <v/>
      </c>
      <c r="AL24" s="110">
        <f>IS!K18</f>
        <v/>
      </c>
      <c r="AM24" s="111">
        <f>AL24*1.134</f>
        <v/>
      </c>
      <c r="AN24" s="112">
        <f>AM24-AL24</f>
        <v/>
      </c>
      <c r="AO24" s="113">
        <f>IF(AL24=0,"-",AN24/AL24)</f>
        <v/>
      </c>
      <c r="AP24" s="110">
        <f>IS!L18</f>
        <v/>
      </c>
      <c r="AQ24" s="111">
        <f>AP24*1.1016</f>
        <v/>
      </c>
      <c r="AR24" s="112">
        <f>AQ24-AP24</f>
        <v/>
      </c>
      <c r="AS24" s="113">
        <f>IF(AP24=0,"-",AR24/AP24)</f>
        <v/>
      </c>
      <c r="AT24" s="110">
        <f>IS!M18</f>
        <v/>
      </c>
      <c r="AU24" s="111">
        <f>AT24*1.1124</f>
        <v/>
      </c>
      <c r="AV24" s="112">
        <f>AU24-AT24</f>
        <v/>
      </c>
      <c r="AW24" s="113">
        <f>IF(AT24=0,"-",AV24/AT24)</f>
        <v/>
      </c>
      <c r="AY24" s="105">
        <f>SUM(B24:AT24)</f>
        <v/>
      </c>
      <c r="AZ24" s="106">
        <f>SUM(C24:AU24)</f>
        <v/>
      </c>
      <c r="BA24" s="107">
        <f>AZ24-AY24</f>
        <v/>
      </c>
      <c r="BB24" s="108">
        <f>IF(AY24=0,"-",BA24/AY24)</f>
        <v/>
      </c>
    </row>
  </sheetData>
  <mergeCells count="13">
    <mergeCell ref="AD6:AG6"/>
    <mergeCell ref="A1:Z1"/>
    <mergeCell ref="B6:E6"/>
    <mergeCell ref="V6:Y6"/>
    <mergeCell ref="Z6:AC6"/>
    <mergeCell ref="J6:M6"/>
    <mergeCell ref="N6:Q6"/>
    <mergeCell ref="AT6:AW6"/>
    <mergeCell ref="AH6:AK6"/>
    <mergeCell ref="AL6:AO6"/>
    <mergeCell ref="R6:U6"/>
    <mergeCell ref="AP6:AS6"/>
    <mergeCell ref="F6:I6"/>
  </mergeCells>
  <pageMargins left="0.75" right="0.75" top="1" bottom="1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tabColor rgb="FF375623"/>
    <outlinePr summaryBelow="1" summaryRight="1"/>
    <pageSetUpPr/>
  </sheetPr>
  <dimension ref="A1:J60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1" sqref="A1"/>
    </sheetView>
  </sheetViews>
  <sheetFormatPr baseColWidth="8" defaultColWidth="8.7109375" defaultRowHeight="12.75"/>
  <cols>
    <col width="38" customWidth="1" style="10" min="1" max="1"/>
    <col width="16" customWidth="1" style="10" min="2" max="7"/>
  </cols>
  <sheetData>
    <row r="1" ht="25.5" customHeight="1" s="10">
      <c r="A1" s="114" t="inlineStr">
        <is>
          <t>DCF Valuation – HubSpot (HUBS) | Illustrative Enterprise Value Analysis</t>
        </is>
      </c>
      <c r="B1" s="115" t="n"/>
      <c r="C1" s="115" t="n"/>
      <c r="D1" s="115" t="n"/>
      <c r="E1" s="115" t="n"/>
      <c r="F1" s="115" t="n"/>
      <c r="G1" s="115" t="n"/>
      <c r="H1" s="115" t="n"/>
      <c r="I1" s="115" t="n"/>
      <c r="J1" s="115" t="n"/>
    </row>
    <row r="2" ht="15" customHeight="1" s="10">
      <c r="A2" s="88" t="inlineStr">
        <is>
          <t>Based on 24-month FP&amp;A model. Terminal value via Gordon Growth Model. USD millions.</t>
        </is>
      </c>
    </row>
    <row r="3" ht="15" customHeight="1" s="10">
      <c r="A3" s="88" t="inlineStr">
        <is>
          <t>Source: HubSpot 10-K 2023 (SEC EDGAR). For illustrative/portfolio purposes only.</t>
        </is>
      </c>
    </row>
    <row r="5" ht="18" customHeight="1" s="10">
      <c r="A5" s="116" t="inlineStr">
        <is>
          <t>SECTION 1 — WACC (Weighted Average Cost of Capital)</t>
        </is>
      </c>
      <c r="B5" s="103" t="n"/>
      <c r="C5" s="103" t="n"/>
      <c r="D5" s="103" t="n"/>
      <c r="E5" s="103" t="n"/>
      <c r="F5" s="103" t="n"/>
      <c r="G5" s="103" t="n"/>
      <c r="H5" s="103" t="n"/>
      <c r="I5" s="103" t="n"/>
      <c r="J5" s="103" t="n"/>
    </row>
    <row r="6" ht="15" customHeight="1" s="10">
      <c r="A6" s="117" t="inlineStr">
        <is>
          <t>Risk-Free Rate (10-yr UST)</t>
        </is>
      </c>
      <c r="B6" s="118" t="n">
        <v>0.044</v>
      </c>
      <c r="C6" s="119" t="inlineStr">
        <is>
          <t>US Treasury, Dec 2023</t>
        </is>
      </c>
    </row>
    <row r="7" ht="15" customHeight="1" s="10">
      <c r="A7" s="117" t="inlineStr">
        <is>
          <t>Equity Risk Premium</t>
        </is>
      </c>
      <c r="B7" s="118" t="n">
        <v>0.055</v>
      </c>
      <c r="C7" s="119" t="inlineStr">
        <is>
          <t>Damodaran, Jan 2024</t>
        </is>
      </c>
    </row>
    <row r="8" ht="15" customHeight="1" s="10">
      <c r="A8" s="117" t="inlineStr">
        <is>
          <t>Beta (levered, 5-yr monthly vs S&amp;P)</t>
        </is>
      </c>
      <c r="B8" s="120" t="n">
        <v>1.35</v>
      </c>
      <c r="C8" s="119" t="inlineStr">
        <is>
          <t>Bloomberg</t>
        </is>
      </c>
    </row>
    <row r="9" ht="15" customHeight="1" s="10">
      <c r="A9" s="117" t="inlineStr">
        <is>
          <t>Cost of Equity  [Rf + β × ERP]</t>
        </is>
      </c>
      <c r="B9" s="121">
        <f>B6+B8*B7</f>
        <v/>
      </c>
      <c r="C9" s="119" t="inlineStr">
        <is>
          <t>CAPM formula</t>
        </is>
      </c>
    </row>
    <row r="10" ht="15" customHeight="1" s="10">
      <c r="A10" s="117" t="inlineStr">
        <is>
          <t>Pre-tax Cost of Debt</t>
        </is>
      </c>
      <c r="B10" s="121">
        <f>Assumptions!$F$30</f>
        <v/>
      </c>
      <c r="C10" s="119" t="inlineStr">
        <is>
          <t>Data_Entry rate</t>
        </is>
      </c>
    </row>
    <row r="11" ht="15" customHeight="1" s="10">
      <c r="A11" s="117" t="inlineStr">
        <is>
          <t>Tax Rate</t>
        </is>
      </c>
      <c r="B11" s="121">
        <f>Assumptions!$F$22</f>
        <v/>
      </c>
      <c r="C11" s="119" t="inlineStr">
        <is>
          <t>Data_Entry</t>
        </is>
      </c>
    </row>
    <row r="12" ht="15" customHeight="1" s="10">
      <c r="A12" s="117" t="inlineStr">
        <is>
          <t>After-tax Cost of Debt  [Kd×(1-t)]</t>
        </is>
      </c>
      <c r="B12" s="121">
        <f>B10*(1-B11)</f>
        <v/>
      </c>
      <c r="C12" s="119" t="n"/>
    </row>
    <row r="13" ht="15" customHeight="1" s="10">
      <c r="A13" s="117" t="inlineStr">
        <is>
          <t>Market Cap (USD mm)</t>
        </is>
      </c>
      <c r="B13" s="120" t="n">
        <v>19500</v>
      </c>
      <c r="C13" s="119" t="inlineStr">
        <is>
          <t>Bloomberg, Dec 2023 approx</t>
        </is>
      </c>
    </row>
    <row r="14" ht="15" customHeight="1" s="10">
      <c r="A14" s="117" t="inlineStr">
        <is>
          <t>Total Debt (USD mm)</t>
        </is>
      </c>
      <c r="B14" s="122">
        <f>Assumptions!$F$11/1000000</f>
        <v/>
      </c>
      <c r="C14" s="119" t="inlineStr">
        <is>
          <t>Model opening</t>
        </is>
      </c>
    </row>
    <row r="15" ht="15" customHeight="1" s="10">
      <c r="A15" s="117" t="inlineStr">
        <is>
          <t>Total Capital  [E+D]</t>
        </is>
      </c>
      <c r="B15" s="122">
        <f>B13+B14</f>
        <v/>
      </c>
      <c r="C15" s="119" t="n"/>
    </row>
    <row r="16" ht="15" customHeight="1" s="10">
      <c r="A16" s="117" t="inlineStr">
        <is>
          <t>Weight of Equity  [E/V]</t>
        </is>
      </c>
      <c r="B16" s="121">
        <f>B13/B15</f>
        <v/>
      </c>
      <c r="C16" s="119" t="n"/>
    </row>
    <row r="17" ht="15" customHeight="1" s="10">
      <c r="A17" s="117" t="inlineStr">
        <is>
          <t>Weight of Debt  [D/V]</t>
        </is>
      </c>
      <c r="B17" s="121">
        <f>B14/B15</f>
        <v/>
      </c>
      <c r="C17" s="119" t="n"/>
    </row>
    <row r="18" ht="15" customHeight="1" s="10">
      <c r="A18" s="117" t="n"/>
      <c r="C18" s="119" t="n"/>
    </row>
    <row r="19" ht="15" customHeight="1" s="10">
      <c r="A19" s="123" t="inlineStr">
        <is>
          <t>WACC  [Ke×E/V + Kd(1-t)×D/V]</t>
        </is>
      </c>
      <c r="B19" s="124">
        <f>B9*B16+B12*B17</f>
        <v/>
      </c>
      <c r="C19" s="119" t="inlineStr">
        <is>
          <t>KEY OUTPUT</t>
        </is>
      </c>
    </row>
    <row r="22" ht="18" customHeight="1" s="10">
      <c r="A22" s="116" t="inlineStr">
        <is>
          <t>SECTION 2 — Free Cash Flow Projection (USD mm)</t>
        </is>
      </c>
      <c r="B22" s="103" t="n"/>
      <c r="C22" s="103" t="n"/>
      <c r="D22" s="103" t="n"/>
      <c r="E22" s="103" t="n"/>
      <c r="F22" s="103" t="n"/>
      <c r="G22" s="103" t="n"/>
      <c r="H22" s="103" t="n"/>
      <c r="I22" s="103" t="n"/>
      <c r="J22" s="103" t="n"/>
    </row>
    <row r="23" ht="15" customHeight="1" s="10">
      <c r="A23" s="125" t="inlineStr">
        <is>
          <t>Metric</t>
        </is>
      </c>
      <c r="B23" s="126" t="inlineStr">
        <is>
          <t>FY 2024 (Yr 1)</t>
        </is>
      </c>
      <c r="C23" s="126" t="inlineStr">
        <is>
          <t>FY 2025 (Yr 2)</t>
        </is>
      </c>
    </row>
    <row r="24" ht="15" customHeight="1" s="10">
      <c r="A24" s="109" t="inlineStr">
        <is>
          <t>Total Revenue</t>
        </is>
      </c>
      <c r="B24" s="127">
        <f>SUM(IS!B6:IS6)/1000000</f>
        <v/>
      </c>
      <c r="C24" s="127">
        <f>SUM(IS!N6:IS6)/1000000</f>
        <v/>
      </c>
    </row>
    <row r="25" ht="15" customHeight="1" s="10">
      <c r="A25" s="109" t="inlineStr">
        <is>
          <t>EBITDA</t>
        </is>
      </c>
      <c r="B25" s="127">
        <f>SUM(IS!B12:IS12)/1000000</f>
        <v/>
      </c>
      <c r="C25" s="127">
        <f>SUM(IS!N12:IS12)/1000000</f>
        <v/>
      </c>
    </row>
    <row r="26" ht="15" customHeight="1" s="10">
      <c r="A26" s="117" t="inlineStr">
        <is>
          <t>EBITDA Margin</t>
        </is>
      </c>
      <c r="B26" s="128">
        <f>B25/B24</f>
        <v/>
      </c>
      <c r="C26" s="128">
        <f>C25/C24</f>
        <v/>
      </c>
    </row>
    <row r="27" ht="15" customHeight="1" s="10">
      <c r="A27" s="117" t="inlineStr">
        <is>
          <t>Less: Depreciation</t>
        </is>
      </c>
      <c r="B27" s="122">
        <f>-SUM(Capex!B8:M8)/1000000</f>
        <v/>
      </c>
      <c r="C27" s="122">
        <f>-SUM(Capex!N8:Y8)/1000000</f>
        <v/>
      </c>
    </row>
    <row r="28" ht="15" customHeight="1" s="10">
      <c r="A28" s="117" t="inlineStr">
        <is>
          <t>Less: Cash Taxes</t>
        </is>
      </c>
      <c r="B28" s="122">
        <f>-SUM(IS!B17:IS17)/1000000</f>
        <v/>
      </c>
      <c r="C28" s="122">
        <f>-SUM(IS!N17:IS17)/1000000</f>
        <v/>
      </c>
    </row>
    <row r="29" ht="15" customHeight="1" s="10">
      <c r="A29" s="117" t="inlineStr">
        <is>
          <t>Less: Capex</t>
        </is>
      </c>
      <c r="B29" s="122">
        <f>-SUM(Capex!B7:M7)/1000000</f>
        <v/>
      </c>
      <c r="C29" s="122">
        <f>-SUM(Capex!N7:Y7)/1000000</f>
        <v/>
      </c>
    </row>
    <row r="30" ht="15" customHeight="1" s="10">
      <c r="A30" s="117" t="inlineStr">
        <is>
          <t>Less: Δ Working Capital</t>
        </is>
      </c>
      <c r="B30" s="122">
        <f>-( SUM(Working_Capital!B6:M6) - SUM(Working_Capital!B9:M9) )/1000000</f>
        <v/>
      </c>
      <c r="C30" s="122">
        <f>-( SUM(Working_Capital!N6:Y6) - SUM(Working_Capital!N9:Y9) )/1000000</f>
        <v/>
      </c>
    </row>
    <row r="31" ht="15" customHeight="1" s="10">
      <c r="A31" s="109" t="inlineStr">
        <is>
          <t>Unlevered FCF</t>
        </is>
      </c>
      <c r="B31" s="129">
        <f>B25+B27+B28+B29+B30</f>
        <v/>
      </c>
      <c r="C31" s="129">
        <f>C25+C27+C28+C29+C30</f>
        <v/>
      </c>
    </row>
    <row r="34" ht="18" customHeight="1" s="10">
      <c r="A34" s="130" t="inlineStr">
        <is>
          <t>Terminal Growth Rate (g)</t>
        </is>
      </c>
      <c r="B34" s="131" t="n">
        <v>0.03</v>
      </c>
      <c r="C34" s="132" t="inlineStr">
        <is>
          <t>Conservative — long-run GDP proxy</t>
        </is>
      </c>
      <c r="D34" s="103" t="n"/>
      <c r="E34" s="103" t="n"/>
      <c r="F34" s="103" t="n"/>
      <c r="G34" s="103" t="n"/>
      <c r="H34" s="103" t="n"/>
      <c r="I34" s="103" t="n"/>
      <c r="J34" s="103" t="n"/>
    </row>
    <row r="35" ht="15" customHeight="1" s="10">
      <c r="A35" s="117" t="inlineStr">
        <is>
          <t>Terminal Year FCF</t>
        </is>
      </c>
      <c r="B35" s="122">
        <f>C31</f>
        <v/>
      </c>
      <c r="C35" s="119" t="inlineStr">
        <is>
          <t>FY2025 normalised FCF</t>
        </is>
      </c>
    </row>
    <row r="36" ht="15" customHeight="1" s="10">
      <c r="A36" s="117" t="inlineStr">
        <is>
          <t>Terminal Value  [FCF×(1+g)/(WACC-g)]</t>
        </is>
      </c>
      <c r="B36" s="122">
        <f>B35*(1+B34)/(B19-B34)</f>
        <v/>
      </c>
      <c r="C36" s="119" t="inlineStr">
        <is>
          <t>Gordon Growth</t>
        </is>
      </c>
    </row>
    <row r="37" ht="15" customHeight="1" s="10">
      <c r="A37" s="117" t="inlineStr">
        <is>
          <t>PV of Terminal Value</t>
        </is>
      </c>
      <c r="B37" s="122">
        <f>B36/(1+B19)^2</f>
        <v/>
      </c>
      <c r="C37" s="119" t="inlineStr">
        <is>
          <t>Discounted 2 yrs</t>
        </is>
      </c>
    </row>
    <row r="38" ht="15" customHeight="1" s="10">
      <c r="A38" s="117" t="inlineStr">
        <is>
          <t>PV of FCF Year 1</t>
        </is>
      </c>
      <c r="B38" s="122">
        <f>B31/(1+B19)^1</f>
        <v/>
      </c>
      <c r="C38" s="119" t="n"/>
    </row>
    <row r="39" ht="15" customHeight="1" s="10">
      <c r="A39" s="117" t="inlineStr">
        <is>
          <t>PV of FCF Year 2</t>
        </is>
      </c>
      <c r="B39" s="122">
        <f>C31/(1+B19)^2</f>
        <v/>
      </c>
      <c r="C39" s="119" t="n"/>
    </row>
    <row r="40" ht="15" customHeight="1" s="10">
      <c r="A40" s="117" t="inlineStr">
        <is>
          <t>Sum of PV FCFs</t>
        </is>
      </c>
      <c r="B40" s="122">
        <f>B38+B39</f>
        <v/>
      </c>
      <c r="C40" s="119" t="n"/>
    </row>
    <row r="41" ht="15" customHeight="1" s="10">
      <c r="A41" s="117" t="n"/>
      <c r="C41" s="119" t="n"/>
    </row>
    <row r="42" ht="15" customHeight="1" s="10">
      <c r="A42" s="123" t="inlineStr">
        <is>
          <t>Enterprise Value (EV)</t>
        </is>
      </c>
      <c r="B42" s="129">
        <f>B37+B40</f>
        <v/>
      </c>
      <c r="C42" s="119" t="inlineStr">
        <is>
          <t>PV TV + PV FCFs</t>
        </is>
      </c>
    </row>
    <row r="43" ht="15" customHeight="1" s="10">
      <c r="A43" s="117" t="inlineStr">
        <is>
          <t>Less: Net Debt (Debt − Cash)</t>
        </is>
      </c>
      <c r="B43" s="122">
        <f>(Assumptions!$F$11-Assumptions!$F$7)/1000000</f>
        <v/>
      </c>
      <c r="C43" s="119" t="inlineStr">
        <is>
          <t>From model</t>
        </is>
      </c>
    </row>
    <row r="44" ht="15" customHeight="1" s="10">
      <c r="A44" s="123" t="inlineStr">
        <is>
          <t>Equity Value</t>
        </is>
      </c>
      <c r="B44" s="129">
        <f>B42-B43</f>
        <v/>
      </c>
      <c r="C44" s="119" t="n"/>
    </row>
    <row r="45" ht="15" customHeight="1" s="10">
      <c r="A45" s="117" t="inlineStr">
        <is>
          <t>Shares Outstanding (mm)</t>
        </is>
      </c>
      <c r="B45" s="133" t="n">
        <v>303</v>
      </c>
      <c r="C45" s="119" t="inlineStr">
        <is>
          <t>HubSpot 10-K 2023</t>
        </is>
      </c>
    </row>
    <row r="46" ht="15" customHeight="1" s="10">
      <c r="A46" s="123" t="inlineStr">
        <is>
          <t>Implied Share Price</t>
        </is>
      </c>
      <c r="B46" s="134">
        <f>B44*1000000/B45</f>
        <v/>
      </c>
      <c r="C46" s="119" t="n"/>
    </row>
    <row r="47" ht="15" customHeight="1" s="10">
      <c r="A47" s="117" t="inlineStr">
        <is>
          <t>Current Market Price (Dec 2023)</t>
        </is>
      </c>
      <c r="B47" s="135" t="n">
        <v>635</v>
      </c>
      <c r="C47" s="119" t="inlineStr">
        <is>
          <t>Bloomberg approx</t>
        </is>
      </c>
    </row>
    <row r="48" ht="15" customHeight="1" s="10">
      <c r="A48" s="117" t="inlineStr">
        <is>
          <t>Upside / (Downside)</t>
        </is>
      </c>
      <c r="B48" s="136">
        <f>(B46-B47)/B47</f>
        <v/>
      </c>
      <c r="C48" s="119" t="inlineStr">
        <is>
          <t>vs market</t>
        </is>
      </c>
    </row>
    <row r="52" ht="18" customHeight="1" s="10">
      <c r="A52" s="116" t="inlineStr">
        <is>
          <t>SECTION 4 — Sensitivity: Implied Share Price (WACC vs Terminal Growth Rate)</t>
        </is>
      </c>
      <c r="B52" s="103" t="n"/>
      <c r="C52" s="103" t="n"/>
      <c r="D52" s="103" t="n"/>
      <c r="E52" s="103" t="n"/>
      <c r="F52" s="103" t="n"/>
      <c r="G52" s="103" t="n"/>
      <c r="H52" s="103" t="n"/>
      <c r="I52" s="103" t="n"/>
      <c r="J52" s="103" t="n"/>
    </row>
    <row r="53" ht="15" customHeight="1" s="10">
      <c r="A53" s="109" t="inlineStr">
        <is>
          <t>TGR \ WACC →</t>
        </is>
      </c>
      <c r="B53" s="137" t="n">
        <v>0.08</v>
      </c>
      <c r="C53" s="137" t="n">
        <v>0.09</v>
      </c>
      <c r="D53" s="137" t="n">
        <v>0.1</v>
      </c>
      <c r="E53" s="137" t="n">
        <v>0.11</v>
      </c>
      <c r="F53" s="137" t="n">
        <v>0.12</v>
      </c>
    </row>
    <row r="54" ht="15" customHeight="1" s="10">
      <c r="A54" s="138" t="n">
        <v>0.02</v>
      </c>
      <c r="B54" s="139">
        <f>(C31*(1+0.02)/(0.08-0.02)/(1+0.08)^2+B31/(1+0.08)+C31/(1+0.08)^2-B43)*1000000/B45</f>
        <v/>
      </c>
      <c r="C54" s="139">
        <f>(C31*(1+0.02)/(0.09-0.02)/(1+0.09)^2+B31/(1+0.09)+C31/(1+0.09)^2-B43)*1000000/B45</f>
        <v/>
      </c>
      <c r="D54" s="139">
        <f>(C31*(1+0.02)/(0.1-0.02)/(1+0.1)^2+B31/(1+0.1)+C31/(1+0.1)^2-B43)*1000000/B45</f>
        <v/>
      </c>
      <c r="E54" s="139">
        <f>(C31*(1+0.02)/(0.11-0.02)/(1+0.11)^2+B31/(1+0.11)+C31/(1+0.11)^2-B43)*1000000/B45</f>
        <v/>
      </c>
      <c r="F54" s="139">
        <f>(C31*(1+0.02)/(0.12-0.02)/(1+0.12)^2+B31/(1+0.12)+C31/(1+0.12)^2-B43)*1000000/B45</f>
        <v/>
      </c>
    </row>
    <row r="55" ht="15" customHeight="1" s="10">
      <c r="A55" s="138" t="n">
        <v>0.025</v>
      </c>
      <c r="B55" s="139">
        <f>(C31*(1+0.025)/(0.08-0.025)/(1+0.08)^2+B31/(1+0.08)+C31/(1+0.08)^2-B43)*1000000/B45</f>
        <v/>
      </c>
      <c r="C55" s="139">
        <f>(C31*(1+0.025)/(0.09-0.025)/(1+0.09)^2+B31/(1+0.09)+C31/(1+0.09)^2-B43)*1000000/B45</f>
        <v/>
      </c>
      <c r="D55" s="139">
        <f>(C31*(1+0.025)/(0.1-0.025)/(1+0.1)^2+B31/(1+0.1)+C31/(1+0.1)^2-B43)*1000000/B45</f>
        <v/>
      </c>
      <c r="E55" s="139">
        <f>(C31*(1+0.025)/(0.11-0.025)/(1+0.11)^2+B31/(1+0.11)+C31/(1+0.11)^2-B43)*1000000/B45</f>
        <v/>
      </c>
      <c r="F55" s="139">
        <f>(C31*(1+0.025)/(0.12-0.025)/(1+0.12)^2+B31/(1+0.12)+C31/(1+0.12)^2-B43)*1000000/B45</f>
        <v/>
      </c>
    </row>
    <row r="56" ht="15" customHeight="1" s="10">
      <c r="A56" s="138" t="n">
        <v>0.03</v>
      </c>
      <c r="B56" s="139">
        <f>(C31*(1+0.03)/(0.08-0.03)/(1+0.08)^2+B31/(1+0.08)+C31/(1+0.08)^2-B43)*1000000/B45</f>
        <v/>
      </c>
      <c r="C56" s="139">
        <f>(C31*(1+0.03)/(0.09-0.03)/(1+0.09)^2+B31/(1+0.09)+C31/(1+0.09)^2-B43)*1000000/B45</f>
        <v/>
      </c>
      <c r="D56" s="134">
        <f>(C31*(1+0.03)/(0.1-0.03)/(1+0.1)^2+B31/(1+0.1)+C31/(1+0.1)^2-B43)*1000000/B45</f>
        <v/>
      </c>
      <c r="E56" s="139">
        <f>(C31*(1+0.03)/(0.11-0.03)/(1+0.11)^2+B31/(1+0.11)+C31/(1+0.11)^2-B43)*1000000/B45</f>
        <v/>
      </c>
      <c r="F56" s="139">
        <f>(C31*(1+0.03)/(0.12-0.03)/(1+0.12)^2+B31/(1+0.12)+C31/(1+0.12)^2-B43)*1000000/B45</f>
        <v/>
      </c>
    </row>
    <row r="57" ht="15" customHeight="1" s="10">
      <c r="A57" s="138" t="n">
        <v>0.035</v>
      </c>
      <c r="B57" s="139">
        <f>(C31*(1+0.035)/(0.08-0.035)/(1+0.08)^2+B31/(1+0.08)+C31/(1+0.08)^2-B43)*1000000/B45</f>
        <v/>
      </c>
      <c r="C57" s="139">
        <f>(C31*(1+0.035)/(0.09-0.035)/(1+0.09)^2+B31/(1+0.09)+C31/(1+0.09)^2-B43)*1000000/B45</f>
        <v/>
      </c>
      <c r="D57" s="139">
        <f>(C31*(1+0.035)/(0.1-0.035)/(1+0.1)^2+B31/(1+0.1)+C31/(1+0.1)^2-B43)*1000000/B45</f>
        <v/>
      </c>
      <c r="E57" s="139">
        <f>(C31*(1+0.035)/(0.11-0.035)/(1+0.11)^2+B31/(1+0.11)+C31/(1+0.11)^2-B43)*1000000/B45</f>
        <v/>
      </c>
      <c r="F57" s="139">
        <f>(C31*(1+0.035)/(0.12-0.035)/(1+0.12)^2+B31/(1+0.12)+C31/(1+0.12)^2-B43)*1000000/B45</f>
        <v/>
      </c>
    </row>
    <row r="58" ht="15" customHeight="1" s="10">
      <c r="A58" s="138" t="n">
        <v>0.04</v>
      </c>
      <c r="B58" s="139">
        <f>(C31*(1+0.04)/(0.08-0.04)/(1+0.08)^2+B31/(1+0.08)+C31/(1+0.08)^2-B43)*1000000/B45</f>
        <v/>
      </c>
      <c r="C58" s="139">
        <f>(C31*(1+0.04)/(0.09-0.04)/(1+0.09)^2+B31/(1+0.09)+C31/(1+0.09)^2-B43)*1000000/B45</f>
        <v/>
      </c>
      <c r="D58" s="139">
        <f>(C31*(1+0.04)/(0.1-0.04)/(1+0.1)^2+B31/(1+0.1)+C31/(1+0.1)^2-B43)*1000000/B45</f>
        <v/>
      </c>
      <c r="E58" s="139">
        <f>(C31*(1+0.04)/(0.11-0.04)/(1+0.11)^2+B31/(1+0.11)+C31/(1+0.11)^2-B43)*1000000/B45</f>
        <v/>
      </c>
      <c r="F58" s="139">
        <f>(C31*(1+0.04)/(0.12-0.04)/(1+0.12)^2+B31/(1+0.12)+C31/(1+0.12)^2-B43)*1000000/B45</f>
        <v/>
      </c>
    </row>
    <row r="60" ht="15" customHeight="1" s="10">
      <c r="A60" s="119" t="inlineStr">
        <is>
          <t>Orange = base case (WACC 10.0%, TGR 3.0%). Each cell shows implied share price under that combination.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1"/>
  <sheetViews>
    <sheetView showGridLines="0" zoomScaleNormal="100" workbookViewId="0">
      <selection activeCell="A1" sqref="A1"/>
    </sheetView>
  </sheetViews>
  <sheetFormatPr baseColWidth="8" defaultColWidth="8.7109375" defaultRowHeight="12.75"/>
  <cols>
    <col width="26" customWidth="1" style="10" min="1" max="1"/>
    <col width="12" customWidth="1" style="10" min="2" max="25"/>
  </cols>
  <sheetData>
    <row r="1" ht="24" customHeight="1" s="10">
      <c r="A1" s="16" t="inlineStr">
        <is>
          <t>Cash Flow Statement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</row>
    <row r="2" ht="18" customHeight="1" s="10">
      <c r="A2" s="17" t="inlineStr">
        <is>
          <t>Indirect method with debt flows and capex.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</row>
    <row r="3" ht="18" customHeight="1" s="10">
      <c r="A3" s="3" t="inlineStr">
        <is>
          <t>Monthly Cash Flow</t>
        </is>
      </c>
      <c r="B3" s="145" t="n"/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5" t="n"/>
      <c r="R3" s="145" t="n"/>
      <c r="S3" s="145" t="n"/>
      <c r="T3" s="145" t="n"/>
      <c r="U3" s="145" t="n"/>
      <c r="V3" s="145" t="n"/>
      <c r="W3" s="145" t="n"/>
      <c r="X3" s="145" t="n"/>
      <c r="Y3" s="145" t="n"/>
    </row>
    <row r="4" ht="18" customHeight="1" s="10">
      <c r="A4" s="82" t="n"/>
      <c r="B4" s="83">
        <f>Assumptions!$F$6</f>
        <v/>
      </c>
      <c r="C4" s="83">
        <f>DATE(YEAR(B4),MONTH(B4)+1,1)</f>
        <v/>
      </c>
      <c r="D4" s="83">
        <f>DATE(YEAR(C4),MONTH(C4)+1,1)</f>
        <v/>
      </c>
      <c r="E4" s="83">
        <f>DATE(YEAR(D4),MONTH(D4)+1,1)</f>
        <v/>
      </c>
      <c r="F4" s="83">
        <f>DATE(YEAR(E4),MONTH(E4)+1,1)</f>
        <v/>
      </c>
      <c r="G4" s="83">
        <f>DATE(YEAR(F4),MONTH(F4)+1,1)</f>
        <v/>
      </c>
      <c r="H4" s="83">
        <f>DATE(YEAR(G4),MONTH(G4)+1,1)</f>
        <v/>
      </c>
      <c r="I4" s="83">
        <f>DATE(YEAR(H4),MONTH(H4)+1,1)</f>
        <v/>
      </c>
      <c r="J4" s="83">
        <f>DATE(YEAR(I4),MONTH(I4)+1,1)</f>
        <v/>
      </c>
      <c r="K4" s="83">
        <f>DATE(YEAR(J4),MONTH(J4)+1,1)</f>
        <v/>
      </c>
      <c r="L4" s="83">
        <f>DATE(YEAR(K4),MONTH(K4)+1,1)</f>
        <v/>
      </c>
      <c r="M4" s="83">
        <f>DATE(YEAR(L4),MONTH(L4)+1,1)</f>
        <v/>
      </c>
      <c r="N4" s="83">
        <f>DATE(YEAR(M4),MONTH(M4)+1,1)</f>
        <v/>
      </c>
      <c r="O4" s="83">
        <f>DATE(YEAR(N4),MONTH(N4)+1,1)</f>
        <v/>
      </c>
      <c r="P4" s="83">
        <f>DATE(YEAR(O4),MONTH(O4)+1,1)</f>
        <v/>
      </c>
      <c r="Q4" s="83">
        <f>DATE(YEAR(P4),MONTH(P4)+1,1)</f>
        <v/>
      </c>
      <c r="R4" s="83">
        <f>DATE(YEAR(Q4),MONTH(Q4)+1,1)</f>
        <v/>
      </c>
      <c r="S4" s="83">
        <f>DATE(YEAR(R4),MONTH(R4)+1,1)</f>
        <v/>
      </c>
      <c r="T4" s="83">
        <f>DATE(YEAR(S4),MONTH(S4)+1,1)</f>
        <v/>
      </c>
      <c r="U4" s="83">
        <f>DATE(YEAR(T4),MONTH(T4)+1,1)</f>
        <v/>
      </c>
      <c r="V4" s="83">
        <f>DATE(YEAR(U4),MONTH(U4)+1,1)</f>
        <v/>
      </c>
      <c r="W4" s="83">
        <f>DATE(YEAR(V4),MONTH(V4)+1,1)</f>
        <v/>
      </c>
      <c r="X4" s="83">
        <f>DATE(YEAR(W4),MONTH(W4)+1,1)</f>
        <v/>
      </c>
      <c r="Y4" s="83">
        <f>DATE(YEAR(X4),MONTH(X4)+1,1)</f>
        <v/>
      </c>
    </row>
    <row r="5" ht="18" customHeight="1" s="10">
      <c r="A5" s="18" t="n"/>
    </row>
    <row r="6" ht="18" customHeight="1" s="10">
      <c r="A6" s="84" t="inlineStr">
        <is>
          <t>Opening Cash</t>
        </is>
      </c>
      <c r="B6" s="38">
        <f>Assumptions!$F$7</f>
        <v/>
      </c>
      <c r="C6" s="38">
        <f>B21</f>
        <v/>
      </c>
      <c r="D6" s="38">
        <f>C21</f>
        <v/>
      </c>
      <c r="E6" s="38">
        <f>D21</f>
        <v/>
      </c>
      <c r="F6" s="38">
        <f>E21</f>
        <v/>
      </c>
      <c r="G6" s="38">
        <f>F21</f>
        <v/>
      </c>
      <c r="H6" s="38">
        <f>G21</f>
        <v/>
      </c>
      <c r="I6" s="38">
        <f>H21</f>
        <v/>
      </c>
      <c r="J6" s="38">
        <f>I21</f>
        <v/>
      </c>
      <c r="K6" s="38">
        <f>J21</f>
        <v/>
      </c>
      <c r="L6" s="38">
        <f>K21</f>
        <v/>
      </c>
      <c r="M6" s="38">
        <f>L21</f>
        <v/>
      </c>
      <c r="N6" s="38">
        <f>M21</f>
        <v/>
      </c>
      <c r="O6" s="38">
        <f>N21</f>
        <v/>
      </c>
      <c r="P6" s="38">
        <f>O21</f>
        <v/>
      </c>
      <c r="Q6" s="38">
        <f>P21</f>
        <v/>
      </c>
      <c r="R6" s="38">
        <f>Q21</f>
        <v/>
      </c>
      <c r="S6" s="38">
        <f>R21</f>
        <v/>
      </c>
      <c r="T6" s="38">
        <f>S21</f>
        <v/>
      </c>
      <c r="U6" s="38">
        <f>T21</f>
        <v/>
      </c>
      <c r="V6" s="38">
        <f>U21</f>
        <v/>
      </c>
      <c r="W6" s="38">
        <f>V21</f>
        <v/>
      </c>
      <c r="X6" s="38">
        <f>W21</f>
        <v/>
      </c>
      <c r="Y6" s="38">
        <f>X21</f>
        <v/>
      </c>
    </row>
    <row r="7" ht="18" customHeight="1" s="10">
      <c r="A7" s="84" t="inlineStr">
        <is>
          <t>Net Income</t>
        </is>
      </c>
      <c r="B7" s="78">
        <f>IS!B18</f>
        <v/>
      </c>
      <c r="C7" s="78">
        <f>IS!C18</f>
        <v/>
      </c>
      <c r="D7" s="78">
        <f>IS!D18</f>
        <v/>
      </c>
      <c r="E7" s="78">
        <f>IS!E18</f>
        <v/>
      </c>
      <c r="F7" s="78">
        <f>IS!F18</f>
        <v/>
      </c>
      <c r="G7" s="78">
        <f>IS!G18</f>
        <v/>
      </c>
      <c r="H7" s="78">
        <f>IS!H18</f>
        <v/>
      </c>
      <c r="I7" s="78">
        <f>IS!I18</f>
        <v/>
      </c>
      <c r="J7" s="78">
        <f>IS!J18</f>
        <v/>
      </c>
      <c r="K7" s="78">
        <f>IS!K18</f>
        <v/>
      </c>
      <c r="L7" s="78">
        <f>IS!L18</f>
        <v/>
      </c>
      <c r="M7" s="78">
        <f>IS!M18</f>
        <v/>
      </c>
      <c r="N7" s="78">
        <f>IS!N18</f>
        <v/>
      </c>
      <c r="O7" s="78">
        <f>IS!O18</f>
        <v/>
      </c>
      <c r="P7" s="78">
        <f>IS!P18</f>
        <v/>
      </c>
      <c r="Q7" s="78">
        <f>IS!Q18</f>
        <v/>
      </c>
      <c r="R7" s="78">
        <f>IS!R18</f>
        <v/>
      </c>
      <c r="S7" s="78">
        <f>IS!S18</f>
        <v/>
      </c>
      <c r="T7" s="78">
        <f>IS!T18</f>
        <v/>
      </c>
      <c r="U7" s="78">
        <f>IS!U18</f>
        <v/>
      </c>
      <c r="V7" s="78">
        <f>IS!V18</f>
        <v/>
      </c>
      <c r="W7" s="78">
        <f>IS!W18</f>
        <v/>
      </c>
      <c r="X7" s="78">
        <f>IS!X18</f>
        <v/>
      </c>
      <c r="Y7" s="78">
        <f>IS!Y18</f>
        <v/>
      </c>
    </row>
    <row r="8" ht="18" customHeight="1" s="10">
      <c r="A8" s="84" t="inlineStr">
        <is>
          <t>Depreciation</t>
        </is>
      </c>
      <c r="B8" s="78">
        <f>Capex!B8</f>
        <v/>
      </c>
      <c r="C8" s="78">
        <f>Capex!C8</f>
        <v/>
      </c>
      <c r="D8" s="78">
        <f>Capex!D8</f>
        <v/>
      </c>
      <c r="E8" s="78">
        <f>Capex!E8</f>
        <v/>
      </c>
      <c r="F8" s="78">
        <f>Capex!F8</f>
        <v/>
      </c>
      <c r="G8" s="78">
        <f>Capex!G8</f>
        <v/>
      </c>
      <c r="H8" s="78">
        <f>Capex!H8</f>
        <v/>
      </c>
      <c r="I8" s="78">
        <f>Capex!I8</f>
        <v/>
      </c>
      <c r="J8" s="78">
        <f>Capex!J8</f>
        <v/>
      </c>
      <c r="K8" s="78">
        <f>Capex!K8</f>
        <v/>
      </c>
      <c r="L8" s="78">
        <f>Capex!L8</f>
        <v/>
      </c>
      <c r="M8" s="78">
        <f>Capex!M8</f>
        <v/>
      </c>
      <c r="N8" s="78">
        <f>Capex!N8</f>
        <v/>
      </c>
      <c r="O8" s="78">
        <f>Capex!O8</f>
        <v/>
      </c>
      <c r="P8" s="78">
        <f>Capex!P8</f>
        <v/>
      </c>
      <c r="Q8" s="78">
        <f>Capex!Q8</f>
        <v/>
      </c>
      <c r="R8" s="78">
        <f>Capex!R8</f>
        <v/>
      </c>
      <c r="S8" s="78">
        <f>Capex!S8</f>
        <v/>
      </c>
      <c r="T8" s="78">
        <f>Capex!T8</f>
        <v/>
      </c>
      <c r="U8" s="78">
        <f>Capex!U8</f>
        <v/>
      </c>
      <c r="V8" s="78">
        <f>Capex!V8</f>
        <v/>
      </c>
      <c r="W8" s="78">
        <f>Capex!W8</f>
        <v/>
      </c>
      <c r="X8" s="78">
        <f>Capex!X8</f>
        <v/>
      </c>
      <c r="Y8" s="78">
        <f>Capex!Y8</f>
        <v/>
      </c>
    </row>
    <row r="9" ht="18" customHeight="1" s="10">
      <c r="A9" s="84" t="inlineStr">
        <is>
          <t>Change in AR</t>
        </is>
      </c>
      <c r="B9" s="78">
        <f>-Working_Capital!B9</f>
        <v/>
      </c>
      <c r="C9" s="78">
        <f>-Working_Capital!C9</f>
        <v/>
      </c>
      <c r="D9" s="78">
        <f>-Working_Capital!D9</f>
        <v/>
      </c>
      <c r="E9" s="78">
        <f>-Working_Capital!E9</f>
        <v/>
      </c>
      <c r="F9" s="78">
        <f>-Working_Capital!F9</f>
        <v/>
      </c>
      <c r="G9" s="78">
        <f>-Working_Capital!G9</f>
        <v/>
      </c>
      <c r="H9" s="78">
        <f>-Working_Capital!H9</f>
        <v/>
      </c>
      <c r="I9" s="78">
        <f>-Working_Capital!I9</f>
        <v/>
      </c>
      <c r="J9" s="78">
        <f>-Working_Capital!J9</f>
        <v/>
      </c>
      <c r="K9" s="78">
        <f>-Working_Capital!K9</f>
        <v/>
      </c>
      <c r="L9" s="78">
        <f>-Working_Capital!L9</f>
        <v/>
      </c>
      <c r="M9" s="78">
        <f>-Working_Capital!M9</f>
        <v/>
      </c>
      <c r="N9" s="78">
        <f>-Working_Capital!N9</f>
        <v/>
      </c>
      <c r="O9" s="78">
        <f>-Working_Capital!O9</f>
        <v/>
      </c>
      <c r="P9" s="78">
        <f>-Working_Capital!P9</f>
        <v/>
      </c>
      <c r="Q9" s="78">
        <f>-Working_Capital!Q9</f>
        <v/>
      </c>
      <c r="R9" s="78">
        <f>-Working_Capital!R9</f>
        <v/>
      </c>
      <c r="S9" s="78">
        <f>-Working_Capital!S9</f>
        <v/>
      </c>
      <c r="T9" s="78">
        <f>-Working_Capital!T9</f>
        <v/>
      </c>
      <c r="U9" s="78">
        <f>-Working_Capital!U9</f>
        <v/>
      </c>
      <c r="V9" s="78">
        <f>-Working_Capital!V9</f>
        <v/>
      </c>
      <c r="W9" s="78">
        <f>-Working_Capital!W9</f>
        <v/>
      </c>
      <c r="X9" s="78">
        <f>-Working_Capital!X9</f>
        <v/>
      </c>
      <c r="Y9" s="78">
        <f>-Working_Capital!Y9</f>
        <v/>
      </c>
    </row>
    <row r="10" ht="18" customHeight="1" s="10">
      <c r="A10" s="84" t="inlineStr">
        <is>
          <t>Change in AP</t>
        </is>
      </c>
      <c r="B10" s="78">
        <f>Working_Capital!B10</f>
        <v/>
      </c>
      <c r="C10" s="78">
        <f>Working_Capital!C10</f>
        <v/>
      </c>
      <c r="D10" s="78">
        <f>Working_Capital!D10</f>
        <v/>
      </c>
      <c r="E10" s="78">
        <f>Working_Capital!E10</f>
        <v/>
      </c>
      <c r="F10" s="78">
        <f>Working_Capital!F10</f>
        <v/>
      </c>
      <c r="G10" s="78">
        <f>Working_Capital!G10</f>
        <v/>
      </c>
      <c r="H10" s="78">
        <f>Working_Capital!H10</f>
        <v/>
      </c>
      <c r="I10" s="78">
        <f>Working_Capital!I10</f>
        <v/>
      </c>
      <c r="J10" s="78">
        <f>Working_Capital!J10</f>
        <v/>
      </c>
      <c r="K10" s="78">
        <f>Working_Capital!K10</f>
        <v/>
      </c>
      <c r="L10" s="78">
        <f>Working_Capital!L10</f>
        <v/>
      </c>
      <c r="M10" s="78">
        <f>Working_Capital!M10</f>
        <v/>
      </c>
      <c r="N10" s="78">
        <f>Working_Capital!N10</f>
        <v/>
      </c>
      <c r="O10" s="78">
        <f>Working_Capital!O10</f>
        <v/>
      </c>
      <c r="P10" s="78">
        <f>Working_Capital!P10</f>
        <v/>
      </c>
      <c r="Q10" s="78">
        <f>Working_Capital!Q10</f>
        <v/>
      </c>
      <c r="R10" s="78">
        <f>Working_Capital!R10</f>
        <v/>
      </c>
      <c r="S10" s="78">
        <f>Working_Capital!S10</f>
        <v/>
      </c>
      <c r="T10" s="78">
        <f>Working_Capital!T10</f>
        <v/>
      </c>
      <c r="U10" s="78">
        <f>Working_Capital!U10</f>
        <v/>
      </c>
      <c r="V10" s="78">
        <f>Working_Capital!V10</f>
        <v/>
      </c>
      <c r="W10" s="78">
        <f>Working_Capital!W10</f>
        <v/>
      </c>
      <c r="X10" s="78">
        <f>Working_Capital!X10</f>
        <v/>
      </c>
      <c r="Y10" s="78">
        <f>Working_Capital!Y10</f>
        <v/>
      </c>
    </row>
    <row r="11" ht="18" customHeight="1" s="10">
      <c r="A11" s="87" t="inlineStr">
        <is>
          <t>Operating Cash Flow</t>
        </is>
      </c>
      <c r="B11" s="38">
        <f>SUM(B7:B10)</f>
        <v/>
      </c>
      <c r="C11" s="38">
        <f>SUM(C7:C10)</f>
        <v/>
      </c>
      <c r="D11" s="38">
        <f>SUM(D7:D10)</f>
        <v/>
      </c>
      <c r="E11" s="38">
        <f>SUM(E7:E10)</f>
        <v/>
      </c>
      <c r="F11" s="38">
        <f>SUM(F7:F10)</f>
        <v/>
      </c>
      <c r="G11" s="38">
        <f>SUM(G7:G10)</f>
        <v/>
      </c>
      <c r="H11" s="38">
        <f>SUM(H7:H10)</f>
        <v/>
      </c>
      <c r="I11" s="38">
        <f>SUM(I7:I10)</f>
        <v/>
      </c>
      <c r="J11" s="38">
        <f>SUM(J7:J10)</f>
        <v/>
      </c>
      <c r="K11" s="38">
        <f>SUM(K7:K10)</f>
        <v/>
      </c>
      <c r="L11" s="38">
        <f>SUM(L7:L10)</f>
        <v/>
      </c>
      <c r="M11" s="38">
        <f>SUM(M7:M10)</f>
        <v/>
      </c>
      <c r="N11" s="38">
        <f>SUM(N7:N10)</f>
        <v/>
      </c>
      <c r="O11" s="38">
        <f>SUM(O7:O10)</f>
        <v/>
      </c>
      <c r="P11" s="38">
        <f>SUM(P7:P10)</f>
        <v/>
      </c>
      <c r="Q11" s="38">
        <f>SUM(Q7:Q10)</f>
        <v/>
      </c>
      <c r="R11" s="38">
        <f>SUM(R7:R10)</f>
        <v/>
      </c>
      <c r="S11" s="38">
        <f>SUM(S7:S10)</f>
        <v/>
      </c>
      <c r="T11" s="38">
        <f>SUM(T7:T10)</f>
        <v/>
      </c>
      <c r="U11" s="38">
        <f>SUM(U7:U10)</f>
        <v/>
      </c>
      <c r="V11" s="38">
        <f>SUM(V7:V10)</f>
        <v/>
      </c>
      <c r="W11" s="38">
        <f>SUM(W7:W10)</f>
        <v/>
      </c>
      <c r="X11" s="38">
        <f>SUM(X7:X10)</f>
        <v/>
      </c>
      <c r="Y11" s="38">
        <f>SUM(Y7:Y10)</f>
        <v/>
      </c>
    </row>
    <row r="12" ht="18" customHeight="1" s="10">
      <c r="A12" s="18" t="n"/>
    </row>
    <row r="13" ht="18" customHeight="1" s="10">
      <c r="A13" s="28" t="inlineStr">
        <is>
          <t>Investing Cash Flow</t>
        </is>
      </c>
    </row>
    <row r="14" ht="18" customHeight="1" s="10">
      <c r="A14" s="28" t="inlineStr">
        <is>
          <t xml:space="preserve">  Investing Cash Flow subtotal</t>
        </is>
      </c>
      <c r="B14" s="140">
        <f>B15</f>
        <v/>
      </c>
      <c r="C14" s="140">
        <f>C15</f>
        <v/>
      </c>
      <c r="D14" s="140">
        <f>D15</f>
        <v/>
      </c>
      <c r="E14" s="140">
        <f>E15</f>
        <v/>
      </c>
      <c r="F14" s="140">
        <f>F15</f>
        <v/>
      </c>
      <c r="G14" s="140">
        <f>G15</f>
        <v/>
      </c>
      <c r="H14" s="140">
        <f>H15</f>
        <v/>
      </c>
      <c r="I14" s="140">
        <f>I15</f>
        <v/>
      </c>
      <c r="J14" s="140">
        <f>J15</f>
        <v/>
      </c>
      <c r="K14" s="140">
        <f>K15</f>
        <v/>
      </c>
      <c r="L14" s="140">
        <f>L15</f>
        <v/>
      </c>
      <c r="M14" s="140">
        <f>M15</f>
        <v/>
      </c>
      <c r="N14" s="140">
        <f>N15</f>
        <v/>
      </c>
      <c r="O14" s="140">
        <f>O15</f>
        <v/>
      </c>
      <c r="P14" s="140">
        <f>P15</f>
        <v/>
      </c>
      <c r="Q14" s="140">
        <f>Q15</f>
        <v/>
      </c>
      <c r="R14" s="140">
        <f>R15</f>
        <v/>
      </c>
      <c r="S14" s="140">
        <f>S15</f>
        <v/>
      </c>
      <c r="T14" s="140">
        <f>T15</f>
        <v/>
      </c>
      <c r="U14" s="140">
        <f>U15</f>
        <v/>
      </c>
      <c r="V14" s="140">
        <f>V15</f>
        <v/>
      </c>
      <c r="W14" s="140">
        <f>W15</f>
        <v/>
      </c>
      <c r="X14" s="140">
        <f>X15</f>
        <v/>
      </c>
      <c r="Y14" s="140">
        <f>Y15</f>
        <v/>
      </c>
    </row>
    <row r="15" ht="18" customHeight="1" s="10">
      <c r="A15" s="84" t="inlineStr">
        <is>
          <t>Capex</t>
        </is>
      </c>
      <c r="B15" s="78">
        <f>-Capex!B7</f>
        <v/>
      </c>
      <c r="C15" s="78">
        <f>-Capex!C7</f>
        <v/>
      </c>
      <c r="D15" s="78">
        <f>-Capex!D7</f>
        <v/>
      </c>
      <c r="E15" s="78">
        <f>-Capex!E7</f>
        <v/>
      </c>
      <c r="F15" s="78">
        <f>-Capex!F7</f>
        <v/>
      </c>
      <c r="G15" s="78">
        <f>-Capex!G7</f>
        <v/>
      </c>
      <c r="H15" s="78">
        <f>-Capex!H7</f>
        <v/>
      </c>
      <c r="I15" s="78">
        <f>-Capex!I7</f>
        <v/>
      </c>
      <c r="J15" s="78">
        <f>-Capex!J7</f>
        <v/>
      </c>
      <c r="K15" s="78">
        <f>-Capex!K7</f>
        <v/>
      </c>
      <c r="L15" s="78">
        <f>-Capex!L7</f>
        <v/>
      </c>
      <c r="M15" s="78">
        <f>-Capex!M7</f>
        <v/>
      </c>
      <c r="N15" s="78">
        <f>-Capex!N7</f>
        <v/>
      </c>
      <c r="O15" s="78">
        <f>-Capex!O7</f>
        <v/>
      </c>
      <c r="P15" s="78">
        <f>-Capex!P7</f>
        <v/>
      </c>
      <c r="Q15" s="78">
        <f>-Capex!Q7</f>
        <v/>
      </c>
      <c r="R15" s="78">
        <f>-Capex!R7</f>
        <v/>
      </c>
      <c r="S15" s="78">
        <f>-Capex!S7</f>
        <v/>
      </c>
      <c r="T15" s="78">
        <f>-Capex!T7</f>
        <v/>
      </c>
      <c r="U15" s="78">
        <f>-Capex!U7</f>
        <v/>
      </c>
      <c r="V15" s="78">
        <f>-Capex!V7</f>
        <v/>
      </c>
      <c r="W15" s="78">
        <f>-Capex!W7</f>
        <v/>
      </c>
      <c r="X15" s="78">
        <f>-Capex!X7</f>
        <v/>
      </c>
      <c r="Y15" s="78">
        <f>-Capex!Y7</f>
        <v/>
      </c>
    </row>
    <row r="16" ht="18" customHeight="1" s="10">
      <c r="A16" s="84" t="inlineStr">
        <is>
          <t>Debt Draws</t>
        </is>
      </c>
      <c r="B16" s="78">
        <f>Debt!B7</f>
        <v/>
      </c>
      <c r="C16" s="78">
        <f>Debt!C7</f>
        <v/>
      </c>
      <c r="D16" s="78">
        <f>Debt!D7</f>
        <v/>
      </c>
      <c r="E16" s="78">
        <f>Debt!E7</f>
        <v/>
      </c>
      <c r="F16" s="78">
        <f>Debt!F7</f>
        <v/>
      </c>
      <c r="G16" s="78">
        <f>Debt!G7</f>
        <v/>
      </c>
      <c r="H16" s="78">
        <f>Debt!H7</f>
        <v/>
      </c>
      <c r="I16" s="78">
        <f>Debt!I7</f>
        <v/>
      </c>
      <c r="J16" s="78">
        <f>Debt!J7</f>
        <v/>
      </c>
      <c r="K16" s="78">
        <f>Debt!K7</f>
        <v/>
      </c>
      <c r="L16" s="78">
        <f>Debt!L7</f>
        <v/>
      </c>
      <c r="M16" s="78">
        <f>Debt!M7</f>
        <v/>
      </c>
      <c r="N16" s="78">
        <f>Debt!N7</f>
        <v/>
      </c>
      <c r="O16" s="78">
        <f>Debt!O7</f>
        <v/>
      </c>
      <c r="P16" s="78">
        <f>Debt!P7</f>
        <v/>
      </c>
      <c r="Q16" s="78">
        <f>Debt!Q7</f>
        <v/>
      </c>
      <c r="R16" s="78">
        <f>Debt!R7</f>
        <v/>
      </c>
      <c r="S16" s="78">
        <f>Debt!S7</f>
        <v/>
      </c>
      <c r="T16" s="78">
        <f>Debt!T7</f>
        <v/>
      </c>
      <c r="U16" s="78">
        <f>Debt!U7</f>
        <v/>
      </c>
      <c r="V16" s="78">
        <f>Debt!V7</f>
        <v/>
      </c>
      <c r="W16" s="78">
        <f>Debt!W7</f>
        <v/>
      </c>
      <c r="X16" s="78">
        <f>Debt!X7</f>
        <v/>
      </c>
      <c r="Y16" s="78">
        <f>Debt!Y7</f>
        <v/>
      </c>
    </row>
    <row r="17" ht="18" customHeight="1" s="10">
      <c r="A17" s="84" t="inlineStr">
        <is>
          <t>Debt Repayments</t>
        </is>
      </c>
      <c r="B17" s="78">
        <f>-Debt!B8</f>
        <v/>
      </c>
      <c r="C17" s="78">
        <f>-Debt!C8</f>
        <v/>
      </c>
      <c r="D17" s="78">
        <f>-Debt!D8</f>
        <v/>
      </c>
      <c r="E17" s="78">
        <f>-Debt!E8</f>
        <v/>
      </c>
      <c r="F17" s="78">
        <f>-Debt!F8</f>
        <v/>
      </c>
      <c r="G17" s="78">
        <f>-Debt!G8</f>
        <v/>
      </c>
      <c r="H17" s="78">
        <f>-Debt!H8</f>
        <v/>
      </c>
      <c r="I17" s="78">
        <f>-Debt!I8</f>
        <v/>
      </c>
      <c r="J17" s="78">
        <f>-Debt!J8</f>
        <v/>
      </c>
      <c r="K17" s="78">
        <f>-Debt!K8</f>
        <v/>
      </c>
      <c r="L17" s="78">
        <f>-Debt!L8</f>
        <v/>
      </c>
      <c r="M17" s="78">
        <f>-Debt!M8</f>
        <v/>
      </c>
      <c r="N17" s="78">
        <f>-Debt!N8</f>
        <v/>
      </c>
      <c r="O17" s="78">
        <f>-Debt!O8</f>
        <v/>
      </c>
      <c r="P17" s="78">
        <f>-Debt!P8</f>
        <v/>
      </c>
      <c r="Q17" s="78">
        <f>-Debt!Q8</f>
        <v/>
      </c>
      <c r="R17" s="78">
        <f>-Debt!R8</f>
        <v/>
      </c>
      <c r="S17" s="78">
        <f>-Debt!S8</f>
        <v/>
      </c>
      <c r="T17" s="78">
        <f>-Debt!T8</f>
        <v/>
      </c>
      <c r="U17" s="78">
        <f>-Debt!U8</f>
        <v/>
      </c>
      <c r="V17" s="78">
        <f>-Debt!V8</f>
        <v/>
      </c>
      <c r="W17" s="78">
        <f>-Debt!W8</f>
        <v/>
      </c>
      <c r="X17" s="78">
        <f>-Debt!X8</f>
        <v/>
      </c>
      <c r="Y17" s="78">
        <f>-Debt!Y8</f>
        <v/>
      </c>
    </row>
    <row r="18" ht="18" customHeight="1" s="10">
      <c r="A18" s="141" t="inlineStr">
        <is>
          <t>Financing Cash Flow</t>
        </is>
      </c>
      <c r="B18" s="38">
        <f>SUM(B16:B17)</f>
        <v/>
      </c>
      <c r="C18" s="38">
        <f>SUM(C16:C17)</f>
        <v/>
      </c>
      <c r="D18" s="38">
        <f>SUM(D16:D17)</f>
        <v/>
      </c>
      <c r="E18" s="38">
        <f>SUM(E16:E17)</f>
        <v/>
      </c>
      <c r="F18" s="38">
        <f>SUM(F16:F17)</f>
        <v/>
      </c>
      <c r="G18" s="38">
        <f>SUM(G16:G17)</f>
        <v/>
      </c>
      <c r="H18" s="38">
        <f>SUM(H16:H17)</f>
        <v/>
      </c>
      <c r="I18" s="38">
        <f>SUM(I16:I17)</f>
        <v/>
      </c>
      <c r="J18" s="38">
        <f>SUM(J16:J17)</f>
        <v/>
      </c>
      <c r="K18" s="38">
        <f>SUM(K16:K17)</f>
        <v/>
      </c>
      <c r="L18" s="38">
        <f>SUM(L16:L17)</f>
        <v/>
      </c>
      <c r="M18" s="38">
        <f>SUM(M16:M17)</f>
        <v/>
      </c>
      <c r="N18" s="38">
        <f>SUM(N16:N17)</f>
        <v/>
      </c>
      <c r="O18" s="38">
        <f>SUM(O16:O17)</f>
        <v/>
      </c>
      <c r="P18" s="38">
        <f>SUM(P16:P17)</f>
        <v/>
      </c>
      <c r="Q18" s="38">
        <f>SUM(Q16:Q17)</f>
        <v/>
      </c>
      <c r="R18" s="38">
        <f>SUM(R16:R17)</f>
        <v/>
      </c>
      <c r="S18" s="38">
        <f>SUM(S16:S17)</f>
        <v/>
      </c>
      <c r="T18" s="38">
        <f>SUM(T16:T17)</f>
        <v/>
      </c>
      <c r="U18" s="38">
        <f>SUM(U16:U17)</f>
        <v/>
      </c>
      <c r="V18" s="38">
        <f>SUM(V16:V17)</f>
        <v/>
      </c>
      <c r="W18" s="38">
        <f>SUM(W16:W17)</f>
        <v/>
      </c>
      <c r="X18" s="38">
        <f>SUM(X16:X17)</f>
        <v/>
      </c>
      <c r="Y18" s="38">
        <f>SUM(Y16:Y17)</f>
        <v/>
      </c>
    </row>
    <row r="19" ht="18" customHeight="1" s="10">
      <c r="A19" s="18" t="n"/>
    </row>
    <row r="20" ht="18" customHeight="1" s="10">
      <c r="A20" s="87" t="inlineStr">
        <is>
          <t>Net Change in Cash</t>
        </is>
      </c>
      <c r="B20" s="38">
        <f>B11+B14+B18</f>
        <v/>
      </c>
      <c r="C20" s="38">
        <f>C11+C14+C18</f>
        <v/>
      </c>
      <c r="D20" s="38">
        <f>D11+D14+D18</f>
        <v/>
      </c>
      <c r="E20" s="38">
        <f>E11+E14+E18</f>
        <v/>
      </c>
      <c r="F20" s="38">
        <f>F11+F14+F18</f>
        <v/>
      </c>
      <c r="G20" s="38">
        <f>G11+G14+G18</f>
        <v/>
      </c>
      <c r="H20" s="38">
        <f>H11+H14+H18</f>
        <v/>
      </c>
      <c r="I20" s="38">
        <f>I11+I14+I18</f>
        <v/>
      </c>
      <c r="J20" s="38">
        <f>J11+J14+J18</f>
        <v/>
      </c>
      <c r="K20" s="38">
        <f>K11+K14+K18</f>
        <v/>
      </c>
      <c r="L20" s="38">
        <f>L11+L14+L18</f>
        <v/>
      </c>
      <c r="M20" s="38">
        <f>M11+M14+M18</f>
        <v/>
      </c>
      <c r="N20" s="38">
        <f>N11+N14+N18</f>
        <v/>
      </c>
      <c r="O20" s="38">
        <f>O11+O14+O18</f>
        <v/>
      </c>
      <c r="P20" s="38">
        <f>P11+P14+P18</f>
        <v/>
      </c>
      <c r="Q20" s="38">
        <f>Q11+Q14+Q18</f>
        <v/>
      </c>
      <c r="R20" s="38">
        <f>R11+R14+R18</f>
        <v/>
      </c>
      <c r="S20" s="38">
        <f>S11+S14+S18</f>
        <v/>
      </c>
      <c r="T20" s="38">
        <f>T11+T14+T18</f>
        <v/>
      </c>
      <c r="U20" s="38">
        <f>U11+U14+U18</f>
        <v/>
      </c>
      <c r="V20" s="38">
        <f>V11+V14+V18</f>
        <v/>
      </c>
      <c r="W20" s="38">
        <f>W11+W14+W18</f>
        <v/>
      </c>
      <c r="X20" s="38">
        <f>X11+X14+X18</f>
        <v/>
      </c>
      <c r="Y20" s="38">
        <f>Y11+Y14+Y18</f>
        <v/>
      </c>
    </row>
    <row r="21" ht="18" customHeight="1" s="10">
      <c r="A21" s="87" t="inlineStr">
        <is>
          <t>Ending Cash</t>
        </is>
      </c>
      <c r="B21" s="61">
        <f>B6+B20</f>
        <v/>
      </c>
      <c r="C21" s="61">
        <f>C6+C20</f>
        <v/>
      </c>
      <c r="D21" s="61">
        <f>D6+D20</f>
        <v/>
      </c>
      <c r="E21" s="61">
        <f>E6+E20</f>
        <v/>
      </c>
      <c r="F21" s="61">
        <f>F6+F20</f>
        <v/>
      </c>
      <c r="G21" s="61">
        <f>G6+G20</f>
        <v/>
      </c>
      <c r="H21" s="61">
        <f>H6+H20</f>
        <v/>
      </c>
      <c r="I21" s="61">
        <f>I6+I20</f>
        <v/>
      </c>
      <c r="J21" s="61">
        <f>J6+J20</f>
        <v/>
      </c>
      <c r="K21" s="61">
        <f>K6+K20</f>
        <v/>
      </c>
      <c r="L21" s="61">
        <f>L6+L20</f>
        <v/>
      </c>
      <c r="M21" s="61">
        <f>M6+M20</f>
        <v/>
      </c>
      <c r="N21" s="61">
        <f>N6+N20</f>
        <v/>
      </c>
      <c r="O21" s="61">
        <f>O6+O20</f>
        <v/>
      </c>
      <c r="P21" s="61">
        <f>P6+P20</f>
        <v/>
      </c>
      <c r="Q21" s="61">
        <f>Q6+Q20</f>
        <v/>
      </c>
      <c r="R21" s="61">
        <f>R6+R20</f>
        <v/>
      </c>
      <c r="S21" s="61">
        <f>S6+S20</f>
        <v/>
      </c>
      <c r="T21" s="61">
        <f>T6+T20</f>
        <v/>
      </c>
      <c r="U21" s="61">
        <f>U6+U20</f>
        <v/>
      </c>
      <c r="V21" s="61">
        <f>V6+V20</f>
        <v/>
      </c>
      <c r="W21" s="61">
        <f>W6+W20</f>
        <v/>
      </c>
      <c r="X21" s="61">
        <f>X6+X20</f>
        <v/>
      </c>
      <c r="Y21" s="61">
        <f>Y6+Y20</f>
        <v/>
      </c>
    </row>
    <row r="22" ht="18" customHeight="1" s="10"/>
    <row r="23" ht="18" customHeight="1" s="10"/>
    <row r="24" ht="18" customHeight="1" s="10"/>
    <row r="25" ht="18" customHeight="1" s="10"/>
    <row r="26" ht="18" customHeight="1" s="10"/>
    <row r="27" ht="18" customHeight="1" s="10"/>
    <row r="28" ht="18" customHeight="1" s="10"/>
    <row r="29" ht="18" customHeight="1" s="10"/>
    <row r="30" ht="18" customHeight="1" s="10"/>
    <row r="31" ht="18" customHeight="1" s="10"/>
    <row r="32" ht="18" customHeight="1" s="10"/>
    <row r="33" ht="18" customHeight="1" s="10"/>
    <row r="34" ht="18" customHeight="1" s="10"/>
    <row r="35" ht="18" customHeight="1" s="10"/>
    <row r="36" ht="18" customHeight="1" s="10"/>
    <row r="37" ht="18" customHeight="1" s="10"/>
    <row r="38" ht="18" customHeight="1" s="10"/>
    <row r="39" ht="18" customHeight="1" s="10"/>
    <row r="40" ht="18" customHeight="1" s="10"/>
    <row r="41" ht="18" customHeight="1" s="10"/>
    <row r="42" ht="18" customHeight="1" s="10"/>
    <row r="43" ht="18" customHeight="1" s="10"/>
    <row r="44" ht="18" customHeight="1" s="10"/>
    <row r="45" ht="18" customHeight="1" s="10"/>
    <row r="46" ht="18" customHeight="1" s="10"/>
    <row r="47" ht="18" customHeight="1" s="10"/>
    <row r="48" ht="18" customHeight="1" s="10"/>
    <row r="49" ht="18" customHeight="1" s="10"/>
    <row r="50" ht="18" customHeight="1" s="10"/>
    <row r="51" ht="18" customHeight="1" s="10"/>
    <row r="52" ht="18" customHeight="1" s="10"/>
    <row r="53" ht="18" customHeight="1" s="10"/>
    <row r="54" ht="18" customHeight="1" s="10"/>
    <row r="55" ht="18" customHeight="1" s="10"/>
    <row r="56" ht="18" customHeight="1" s="10"/>
    <row r="57" ht="18" customHeight="1" s="10"/>
    <row r="58" ht="18" customHeight="1" s="10"/>
    <row r="59" ht="18" customHeight="1" s="10"/>
    <row r="60" ht="18" customHeight="1" s="10"/>
    <row r="61" ht="18" customHeight="1" s="10"/>
    <row r="62" ht="18" customHeight="1" s="10"/>
    <row r="63" ht="18" customHeight="1" s="10"/>
    <row r="64" ht="18" customHeight="1" s="10"/>
    <row r="65" ht="18" customHeight="1" s="10"/>
    <row r="66" ht="18" customHeight="1" s="10"/>
    <row r="67" ht="18" customHeight="1" s="10"/>
    <row r="68" ht="18" customHeight="1" s="10"/>
    <row r="69" ht="18" customHeight="1" s="10"/>
    <row r="70" ht="18" customHeight="1" s="10"/>
    <row r="71" ht="18" customHeight="1" s="10"/>
    <row r="72" ht="18" customHeight="1" s="10"/>
    <row r="73" ht="18" customHeight="1" s="10"/>
    <row r="74" ht="18" customHeight="1" s="10"/>
    <row r="75" ht="18" customHeight="1" s="10"/>
    <row r="76" ht="18" customHeight="1" s="10"/>
    <row r="77" ht="18" customHeight="1" s="10"/>
    <row r="78" ht="18" customHeight="1" s="10"/>
    <row r="79" ht="18" customHeight="1" s="10"/>
  </sheetData>
  <mergeCells count="1">
    <mergeCell ref="A3:Y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19"/>
  <sheetViews>
    <sheetView showGridLines="0" tabSelected="1" topLeftCell="A6" zoomScaleNormal="100" workbookViewId="0">
      <selection activeCell="D17" sqref="D17"/>
    </sheetView>
  </sheetViews>
  <sheetFormatPr baseColWidth="8" defaultColWidth="8.7109375" defaultRowHeight="12.75"/>
  <cols>
    <col width="38.42578125" bestFit="1" customWidth="1" style="10" min="1" max="1"/>
    <col width="17.42578125" bestFit="1" customWidth="1" style="10" min="2" max="2"/>
    <col width="16.140625" bestFit="1" customWidth="1" style="10" min="3" max="4"/>
    <col width="15" bestFit="1" customWidth="1" style="10" min="5" max="8"/>
    <col width="16.140625" bestFit="1" customWidth="1" style="10" min="9" max="25"/>
  </cols>
  <sheetData>
    <row r="1" ht="24" customHeight="1" s="10">
      <c r="A1" s="16" t="inlineStr">
        <is>
          <t>Dashboard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</row>
    <row r="2" ht="18" customHeight="1" s="10">
      <c r="A2" s="17" t="inlineStr">
        <is>
          <t>Snapshot of key KPIs for the selected scenario.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</row>
    <row r="3" ht="18" customHeight="1" s="10">
      <c r="A3" s="3" t="inlineStr">
        <is>
          <t>Monthly KPI Trend</t>
        </is>
      </c>
      <c r="B3" s="145" t="n"/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5" t="n"/>
      <c r="R3" s="145" t="n"/>
      <c r="S3" s="145" t="n"/>
      <c r="T3" s="145" t="n"/>
      <c r="U3" s="145" t="n"/>
      <c r="V3" s="145" t="n"/>
      <c r="W3" s="145" t="n"/>
      <c r="X3" s="145" t="n"/>
      <c r="Y3" s="145" t="n"/>
    </row>
    <row r="4" ht="18" customHeight="1" s="10">
      <c r="A4" s="82" t="n"/>
      <c r="B4" s="83">
        <f>Assumptions!$F$6</f>
        <v/>
      </c>
      <c r="C4" s="83">
        <f>DATE(YEAR(B4),MONTH(B4)+1,1)</f>
        <v/>
      </c>
      <c r="D4" s="83">
        <f>DATE(YEAR(C4),MONTH(C4)+1,1)</f>
        <v/>
      </c>
      <c r="E4" s="83">
        <f>DATE(YEAR(D4),MONTH(D4)+1,1)</f>
        <v/>
      </c>
      <c r="F4" s="83">
        <f>DATE(YEAR(E4),MONTH(E4)+1,1)</f>
        <v/>
      </c>
      <c r="G4" s="83">
        <f>DATE(YEAR(F4),MONTH(F4)+1,1)</f>
        <v/>
      </c>
      <c r="H4" s="83">
        <f>DATE(YEAR(G4),MONTH(G4)+1,1)</f>
        <v/>
      </c>
      <c r="I4" s="83">
        <f>DATE(YEAR(H4),MONTH(H4)+1,1)</f>
        <v/>
      </c>
      <c r="J4" s="83">
        <f>DATE(YEAR(I4),MONTH(I4)+1,1)</f>
        <v/>
      </c>
      <c r="K4" s="83">
        <f>DATE(YEAR(J4),MONTH(J4)+1,1)</f>
        <v/>
      </c>
      <c r="L4" s="83">
        <f>DATE(YEAR(K4),MONTH(K4)+1,1)</f>
        <v/>
      </c>
      <c r="M4" s="83">
        <f>DATE(YEAR(L4),MONTH(L4)+1,1)</f>
        <v/>
      </c>
      <c r="N4" s="83">
        <f>DATE(YEAR(M4),MONTH(M4)+1,1)</f>
        <v/>
      </c>
      <c r="O4" s="83">
        <f>DATE(YEAR(N4),MONTH(N4)+1,1)</f>
        <v/>
      </c>
      <c r="P4" s="83">
        <f>DATE(YEAR(O4),MONTH(O4)+1,1)</f>
        <v/>
      </c>
      <c r="Q4" s="83">
        <f>DATE(YEAR(P4),MONTH(P4)+1,1)</f>
        <v/>
      </c>
      <c r="R4" s="83">
        <f>DATE(YEAR(Q4),MONTH(Q4)+1,1)</f>
        <v/>
      </c>
      <c r="S4" s="83">
        <f>DATE(YEAR(R4),MONTH(R4)+1,1)</f>
        <v/>
      </c>
      <c r="T4" s="83">
        <f>DATE(YEAR(S4),MONTH(S4)+1,1)</f>
        <v/>
      </c>
      <c r="U4" s="83">
        <f>DATE(YEAR(T4),MONTH(T4)+1,1)</f>
        <v/>
      </c>
      <c r="V4" s="83">
        <f>DATE(YEAR(U4),MONTH(U4)+1,1)</f>
        <v/>
      </c>
      <c r="W4" s="83">
        <f>DATE(YEAR(V4),MONTH(V4)+1,1)</f>
        <v/>
      </c>
      <c r="X4" s="83">
        <f>DATE(YEAR(W4),MONTH(W4)+1,1)</f>
        <v/>
      </c>
      <c r="Y4" s="83">
        <f>DATE(YEAR(X4),MONTH(X4)+1,1)</f>
        <v/>
      </c>
    </row>
    <row r="5" ht="18" customHeight="1" s="10">
      <c r="A5" s="18" t="n"/>
    </row>
    <row r="6" ht="18" customHeight="1" s="10">
      <c r="A6" s="87" t="inlineStr">
        <is>
          <t>Revenue</t>
        </is>
      </c>
      <c r="B6" s="78">
        <f>Revenue!B15</f>
        <v/>
      </c>
      <c r="C6" s="78">
        <f>Revenue!C15</f>
        <v/>
      </c>
      <c r="D6" s="78">
        <f>Revenue!D15</f>
        <v/>
      </c>
      <c r="E6" s="78">
        <f>Revenue!E15</f>
        <v/>
      </c>
      <c r="F6" s="78">
        <f>Revenue!F15</f>
        <v/>
      </c>
      <c r="G6" s="78">
        <f>Revenue!G15</f>
        <v/>
      </c>
      <c r="H6" s="78">
        <f>Revenue!H15</f>
        <v/>
      </c>
      <c r="I6" s="78">
        <f>Revenue!I15</f>
        <v/>
      </c>
      <c r="J6" s="78">
        <f>Revenue!J15</f>
        <v/>
      </c>
      <c r="K6" s="78">
        <f>Revenue!K15</f>
        <v/>
      </c>
      <c r="L6" s="78">
        <f>Revenue!L15</f>
        <v/>
      </c>
      <c r="M6" s="78">
        <f>Revenue!M15</f>
        <v/>
      </c>
      <c r="N6" s="78">
        <f>Revenue!N15</f>
        <v/>
      </c>
      <c r="O6" s="78">
        <f>Revenue!O15</f>
        <v/>
      </c>
      <c r="P6" s="78">
        <f>Revenue!P15</f>
        <v/>
      </c>
      <c r="Q6" s="78">
        <f>Revenue!Q15</f>
        <v/>
      </c>
      <c r="R6" s="78">
        <f>Revenue!R15</f>
        <v/>
      </c>
      <c r="S6" s="78">
        <f>Revenue!S15</f>
        <v/>
      </c>
      <c r="T6" s="78">
        <f>Revenue!T15</f>
        <v/>
      </c>
      <c r="U6" s="78">
        <f>Revenue!U15</f>
        <v/>
      </c>
      <c r="V6" s="78">
        <f>Revenue!V15</f>
        <v/>
      </c>
      <c r="W6" s="78">
        <f>Revenue!W15</f>
        <v/>
      </c>
      <c r="X6" s="78">
        <f>Revenue!X15</f>
        <v/>
      </c>
      <c r="Y6" s="78">
        <f>Revenue!Y15</f>
        <v/>
      </c>
    </row>
    <row r="7" ht="18" customHeight="1" s="10">
      <c r="A7" s="87" t="inlineStr">
        <is>
          <t>EBITDA</t>
        </is>
      </c>
      <c r="B7" s="78">
        <f>IS!B12</f>
        <v/>
      </c>
      <c r="C7" s="78">
        <f>IS!C12</f>
        <v/>
      </c>
      <c r="D7" s="78">
        <f>IS!D12</f>
        <v/>
      </c>
      <c r="E7" s="78">
        <f>IS!E12</f>
        <v/>
      </c>
      <c r="F7" s="78">
        <f>IS!F12</f>
        <v/>
      </c>
      <c r="G7" s="78">
        <f>IS!G12</f>
        <v/>
      </c>
      <c r="H7" s="78">
        <f>IS!H12</f>
        <v/>
      </c>
      <c r="I7" s="78">
        <f>IS!I12</f>
        <v/>
      </c>
      <c r="J7" s="78">
        <f>IS!J12</f>
        <v/>
      </c>
      <c r="K7" s="78">
        <f>IS!K12</f>
        <v/>
      </c>
      <c r="L7" s="78">
        <f>IS!L12</f>
        <v/>
      </c>
      <c r="M7" s="78">
        <f>IS!M12</f>
        <v/>
      </c>
      <c r="N7" s="78">
        <f>IS!N12</f>
        <v/>
      </c>
      <c r="O7" s="78">
        <f>IS!O12</f>
        <v/>
      </c>
      <c r="P7" s="78">
        <f>IS!P12</f>
        <v/>
      </c>
      <c r="Q7" s="78">
        <f>IS!Q12</f>
        <v/>
      </c>
      <c r="R7" s="78">
        <f>IS!R12</f>
        <v/>
      </c>
      <c r="S7" s="78">
        <f>IS!S12</f>
        <v/>
      </c>
      <c r="T7" s="78">
        <f>IS!T12</f>
        <v/>
      </c>
      <c r="U7" s="78">
        <f>IS!U12</f>
        <v/>
      </c>
      <c r="V7" s="78">
        <f>IS!V12</f>
        <v/>
      </c>
      <c r="W7" s="78">
        <f>IS!W12</f>
        <v/>
      </c>
      <c r="X7" s="78">
        <f>IS!X12</f>
        <v/>
      </c>
      <c r="Y7" s="78">
        <f>IS!Y12</f>
        <v/>
      </c>
    </row>
    <row r="8" ht="18" customHeight="1" s="10">
      <c r="A8" s="87" t="inlineStr">
        <is>
          <t>Ending Cash</t>
        </is>
      </c>
      <c r="B8" s="78">
        <f>CF!B21</f>
        <v/>
      </c>
      <c r="C8" s="78">
        <f>CF!C21</f>
        <v/>
      </c>
      <c r="D8" s="78">
        <f>CF!D21</f>
        <v/>
      </c>
      <c r="E8" s="78">
        <f>CF!E21</f>
        <v/>
      </c>
      <c r="F8" s="78">
        <f>CF!F21</f>
        <v/>
      </c>
      <c r="G8" s="78">
        <f>CF!G21</f>
        <v/>
      </c>
      <c r="H8" s="78">
        <f>CF!H21</f>
        <v/>
      </c>
      <c r="I8" s="78">
        <f>CF!I21</f>
        <v/>
      </c>
      <c r="J8" s="78">
        <f>CF!J21</f>
        <v/>
      </c>
      <c r="K8" s="78">
        <f>CF!K21</f>
        <v/>
      </c>
      <c r="L8" s="78">
        <f>CF!L21</f>
        <v/>
      </c>
      <c r="M8" s="78">
        <f>CF!M21</f>
        <v/>
      </c>
      <c r="N8" s="78">
        <f>CF!N21</f>
        <v/>
      </c>
      <c r="O8" s="78">
        <f>CF!O21</f>
        <v/>
      </c>
      <c r="P8" s="78">
        <f>CF!P21</f>
        <v/>
      </c>
      <c r="Q8" s="78">
        <f>CF!Q21</f>
        <v/>
      </c>
      <c r="R8" s="78">
        <f>CF!R21</f>
        <v/>
      </c>
      <c r="S8" s="78">
        <f>CF!S21</f>
        <v/>
      </c>
      <c r="T8" s="78">
        <f>CF!T21</f>
        <v/>
      </c>
      <c r="U8" s="78">
        <f>CF!U21</f>
        <v/>
      </c>
      <c r="V8" s="78">
        <f>CF!V21</f>
        <v/>
      </c>
      <c r="W8" s="78">
        <f>CF!W21</f>
        <v/>
      </c>
      <c r="X8" s="78">
        <f>CF!X21</f>
        <v/>
      </c>
      <c r="Y8" s="78">
        <f>CF!Y21</f>
        <v/>
      </c>
    </row>
    <row r="9" ht="18" customHeight="1" s="10">
      <c r="A9" s="84" t="inlineStr">
        <is>
          <t>Ending Customers</t>
        </is>
      </c>
      <c r="B9" s="79">
        <f>Revenue!B10</f>
        <v/>
      </c>
      <c r="C9" s="79">
        <f>Revenue!C10</f>
        <v/>
      </c>
      <c r="D9" s="79">
        <f>Revenue!D10</f>
        <v/>
      </c>
      <c r="E9" s="79">
        <f>Revenue!E10</f>
        <v/>
      </c>
      <c r="F9" s="79">
        <f>Revenue!F10</f>
        <v/>
      </c>
      <c r="G9" s="79">
        <f>Revenue!G10</f>
        <v/>
      </c>
      <c r="H9" s="79">
        <f>Revenue!H10</f>
        <v/>
      </c>
      <c r="I9" s="79">
        <f>Revenue!I10</f>
        <v/>
      </c>
      <c r="J9" s="79">
        <f>Revenue!J10</f>
        <v/>
      </c>
      <c r="K9" s="79">
        <f>Revenue!K10</f>
        <v/>
      </c>
      <c r="L9" s="79">
        <f>Revenue!L10</f>
        <v/>
      </c>
      <c r="M9" s="79">
        <f>Revenue!M10</f>
        <v/>
      </c>
      <c r="N9" s="79">
        <f>Revenue!N10</f>
        <v/>
      </c>
      <c r="O9" s="79">
        <f>Revenue!O10</f>
        <v/>
      </c>
      <c r="P9" s="79">
        <f>Revenue!P10</f>
        <v/>
      </c>
      <c r="Q9" s="79">
        <f>Revenue!Q10</f>
        <v/>
      </c>
      <c r="R9" s="79">
        <f>Revenue!R10</f>
        <v/>
      </c>
      <c r="S9" s="79">
        <f>Revenue!S10</f>
        <v/>
      </c>
      <c r="T9" s="79">
        <f>Revenue!T10</f>
        <v/>
      </c>
      <c r="U9" s="79">
        <f>Revenue!U10</f>
        <v/>
      </c>
      <c r="V9" s="79">
        <f>Revenue!V10</f>
        <v/>
      </c>
      <c r="W9" s="79">
        <f>Revenue!W10</f>
        <v/>
      </c>
      <c r="X9" s="79">
        <f>Revenue!X10</f>
        <v/>
      </c>
      <c r="Y9" s="79">
        <f>Revenue!Y10</f>
        <v/>
      </c>
    </row>
    <row r="10" ht="18" customHeight="1" s="10">
      <c r="A10" s="84" t="inlineStr">
        <is>
          <t>Ending HC</t>
        </is>
      </c>
      <c r="B10" s="79">
        <f>Headcount!B52</f>
        <v/>
      </c>
      <c r="C10" s="79">
        <f>Headcount!C52</f>
        <v/>
      </c>
      <c r="D10" s="79">
        <f>Headcount!D52</f>
        <v/>
      </c>
      <c r="E10" s="79">
        <f>Headcount!E52</f>
        <v/>
      </c>
      <c r="F10" s="79">
        <f>Headcount!F52</f>
        <v/>
      </c>
      <c r="G10" s="79">
        <f>Headcount!G52</f>
        <v/>
      </c>
      <c r="H10" s="79">
        <f>Headcount!H52</f>
        <v/>
      </c>
      <c r="I10" s="79">
        <f>Headcount!I52</f>
        <v/>
      </c>
      <c r="J10" s="79">
        <f>Headcount!J52</f>
        <v/>
      </c>
      <c r="K10" s="79">
        <f>Headcount!K52</f>
        <v/>
      </c>
      <c r="L10" s="79">
        <f>Headcount!L52</f>
        <v/>
      </c>
      <c r="M10" s="79">
        <f>Headcount!M52</f>
        <v/>
      </c>
      <c r="N10" s="79">
        <f>Headcount!N52</f>
        <v/>
      </c>
      <c r="O10" s="79">
        <f>Headcount!O52</f>
        <v/>
      </c>
      <c r="P10" s="79">
        <f>Headcount!P52</f>
        <v/>
      </c>
      <c r="Q10" s="79">
        <f>Headcount!Q52</f>
        <v/>
      </c>
      <c r="R10" s="79">
        <f>Headcount!R52</f>
        <v/>
      </c>
      <c r="S10" s="79">
        <f>Headcount!S52</f>
        <v/>
      </c>
      <c r="T10" s="79">
        <f>Headcount!T52</f>
        <v/>
      </c>
      <c r="U10" s="79">
        <f>Headcount!U52</f>
        <v/>
      </c>
      <c r="V10" s="79">
        <f>Headcount!V52</f>
        <v/>
      </c>
      <c r="W10" s="79">
        <f>Headcount!W52</f>
        <v/>
      </c>
      <c r="X10" s="79">
        <f>Headcount!X52</f>
        <v/>
      </c>
      <c r="Y10" s="79">
        <f>Headcount!Y52</f>
        <v/>
      </c>
    </row>
    <row r="11" ht="18" customHeight="1" s="10">
      <c r="A11" s="18" t="n"/>
    </row>
    <row r="12" ht="18" customHeight="1" s="10">
      <c r="A12" s="2" t="inlineStr">
        <is>
          <t>Annual Summary</t>
        </is>
      </c>
      <c r="B12" s="145" t="n"/>
      <c r="C12" s="145" t="n"/>
      <c r="D12" s="145" t="n"/>
      <c r="E12" s="145" t="n"/>
      <c r="F12" s="145" t="n"/>
      <c r="G12" s="145" t="n"/>
    </row>
    <row r="13" ht="18" customHeight="1" s="10">
      <c r="A13" s="18" t="n"/>
      <c r="B13" s="34" t="inlineStr">
        <is>
          <t>Metric</t>
        </is>
      </c>
      <c r="C13" s="60">
        <f>YEAR(B4)</f>
        <v/>
      </c>
      <c r="D13" s="60">
        <f>YEAR(N4)</f>
        <v/>
      </c>
    </row>
    <row r="14" ht="18" customHeight="1" s="10">
      <c r="A14" s="18" t="n"/>
      <c r="B14" s="142" t="inlineStr">
        <is>
          <t>Revenue</t>
        </is>
      </c>
      <c r="C14" s="61">
        <f>SUM(B6:M6)</f>
        <v/>
      </c>
      <c r="D14" s="61">
        <f>SUM(N6:Y6)</f>
        <v/>
      </c>
    </row>
    <row r="15" ht="18" customHeight="1" s="10">
      <c r="A15" s="18" t="n"/>
      <c r="B15" s="142" t="inlineStr">
        <is>
          <t>EBITDA</t>
        </is>
      </c>
      <c r="C15" s="61">
        <f>SUM(B7:M7)</f>
        <v/>
      </c>
      <c r="D15" s="61">
        <f>SUM(N7:Y7)</f>
        <v/>
      </c>
    </row>
    <row r="16" ht="18" customHeight="1" s="10">
      <c r="A16" s="18" t="n"/>
      <c r="B16" s="143" t="inlineStr">
        <is>
          <t>EBITDA Margin</t>
        </is>
      </c>
      <c r="C16" s="62">
        <f>C15/C14</f>
        <v/>
      </c>
      <c r="D16" s="62">
        <f>D15/D14</f>
        <v/>
      </c>
    </row>
    <row r="17" ht="18" customHeight="1" s="10">
      <c r="A17" s="18" t="n"/>
      <c r="B17" s="142" t="inlineStr">
        <is>
          <t>Ending Cash</t>
        </is>
      </c>
      <c r="C17" s="61">
        <f>M8</f>
        <v/>
      </c>
      <c r="D17" s="61">
        <f>Y8</f>
        <v/>
      </c>
    </row>
    <row r="18" ht="18" customHeight="1" s="10">
      <c r="A18" s="18" t="n"/>
      <c r="B18" s="143" t="inlineStr">
        <is>
          <t>Ending Customers</t>
        </is>
      </c>
      <c r="C18" s="63">
        <f>M9</f>
        <v/>
      </c>
      <c r="D18" s="63">
        <f>Y9</f>
        <v/>
      </c>
    </row>
    <row r="19" ht="18" customHeight="1" s="10">
      <c r="A19" s="18" t="n"/>
      <c r="B19" s="143" t="inlineStr">
        <is>
          <t>Ending HC</t>
        </is>
      </c>
      <c r="C19" s="63">
        <f>M10</f>
        <v/>
      </c>
      <c r="D19" s="63">
        <f>Y10</f>
        <v/>
      </c>
    </row>
    <row r="20" ht="18" customHeight="1" s="10"/>
    <row r="21" ht="18" customHeight="1" s="10"/>
    <row r="22" ht="18" customHeight="1" s="10"/>
    <row r="23" ht="18" customHeight="1" s="10"/>
    <row r="24" ht="18" customHeight="1" s="10"/>
    <row r="25" ht="18" customHeight="1" s="10"/>
    <row r="26" ht="18" customHeight="1" s="10"/>
    <row r="27" ht="18" customHeight="1" s="10"/>
    <row r="28" ht="18" customHeight="1" s="10"/>
    <row r="29" ht="18" customHeight="1" s="10"/>
    <row r="30" ht="18" customHeight="1" s="10"/>
    <row r="31" ht="18" customHeight="1" s="10"/>
    <row r="32" ht="18" customHeight="1" s="10"/>
    <row r="33" ht="18" customHeight="1" s="10"/>
    <row r="34" ht="18" customHeight="1" s="10"/>
    <row r="35" ht="18" customHeight="1" s="10"/>
    <row r="36" ht="18" customHeight="1" s="10"/>
    <row r="37" ht="18" customHeight="1" s="10"/>
    <row r="38" ht="18" customHeight="1" s="10"/>
    <row r="39" ht="18" customHeight="1" s="10"/>
    <row r="40" ht="18" customHeight="1" s="10"/>
    <row r="41" ht="18" customHeight="1" s="10"/>
    <row r="42" ht="18" customHeight="1" s="10"/>
    <row r="43" ht="18" customHeight="1" s="10"/>
    <row r="44" ht="18" customHeight="1" s="10"/>
    <row r="45" ht="18" customHeight="1" s="10"/>
    <row r="46" ht="18" customHeight="1" s="10"/>
    <row r="47" ht="18" customHeight="1" s="10"/>
    <row r="48" ht="18" customHeight="1" s="10"/>
    <row r="49" ht="18" customHeight="1" s="10"/>
    <row r="50" ht="18" customHeight="1" s="10"/>
    <row r="51" ht="18" customHeight="1" s="10"/>
    <row r="52" ht="18" customHeight="1" s="10"/>
    <row r="53" ht="18" customHeight="1" s="10"/>
    <row r="54" ht="18" customHeight="1" s="10"/>
    <row r="55" ht="18" customHeight="1" s="10"/>
    <row r="56" ht="18" customHeight="1" s="10"/>
    <row r="57" ht="18" customHeight="1" s="10"/>
    <row r="58" ht="18" customHeight="1" s="10"/>
    <row r="59" ht="18" customHeight="1" s="10"/>
    <row r="60" ht="18" customHeight="1" s="10"/>
    <row r="61" ht="18" customHeight="1" s="10"/>
    <row r="62" ht="18" customHeight="1" s="10"/>
    <row r="63" ht="18" customHeight="1" s="10"/>
    <row r="64" ht="18" customHeight="1" s="10"/>
    <row r="65" ht="18" customHeight="1" s="10"/>
    <row r="66" ht="18" customHeight="1" s="10"/>
    <row r="67" ht="18" customHeight="1" s="10"/>
    <row r="68" ht="18" customHeight="1" s="10"/>
    <row r="69" ht="18" customHeight="1" s="10"/>
    <row r="70" ht="18" customHeight="1" s="10"/>
    <row r="71" ht="18" customHeight="1" s="10"/>
    <row r="72" ht="18" customHeight="1" s="10"/>
    <row r="73" ht="18" customHeight="1" s="10"/>
    <row r="74" ht="18" customHeight="1" s="10"/>
    <row r="75" ht="18" customHeight="1" s="10"/>
    <row r="76" ht="18" customHeight="1" s="10"/>
    <row r="77" ht="18" customHeight="1" s="10"/>
    <row r="78" ht="18" customHeight="1" s="10"/>
    <row r="79" ht="18" customHeight="1" s="10"/>
  </sheetData>
  <mergeCells count="2">
    <mergeCell ref="A3:Y3"/>
    <mergeCell ref="A12:G1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10" min="1" max="1"/>
    <col width="14" customWidth="1" style="10" min="2" max="2"/>
    <col width="18" customWidth="1" style="10" min="3" max="3"/>
    <col width="18" customWidth="1" style="10" min="4" max="4"/>
    <col width="18" customWidth="1" style="10" min="5" max="5"/>
    <col width="14" customWidth="1" style="10" min="6" max="6"/>
    <col width="18" customWidth="1" style="10" min="7" max="7"/>
  </cols>
  <sheetData>
    <row r="1" ht="24" customHeight="1" s="10">
      <c r="A1" s="147" t="inlineStr">
        <is>
          <t>HubSpot (HUBS) — Scenario Analysis | Base / Upside / Downside | Illustrative</t>
        </is>
      </c>
    </row>
    <row r="2">
      <c r="A2" s="148" t="inlineStr">
        <is>
          <t>Scenarios driven by Assumptions sheet (rows 13–40). Change assumptions there to update all linked schedules.</t>
        </is>
      </c>
    </row>
    <row r="4" ht="18" customHeight="1" s="10">
      <c r="A4" s="149" t="inlineStr">
        <is>
          <t>SECTION 1 — KEY ASSUMPTION COMPARISON</t>
        </is>
      </c>
    </row>
    <row r="5" ht="16" customHeight="1" s="10">
      <c r="A5" s="150" t="inlineStr">
        <is>
          <t>Assumption</t>
        </is>
      </c>
      <c r="B5" s="150" t="inlineStr">
        <is>
          <t>Unit</t>
        </is>
      </c>
      <c r="C5" s="150" t="inlineStr">
        <is>
          <t>Base Case</t>
        </is>
      </c>
      <c r="D5" s="151" t="inlineStr">
        <is>
          <t>Upside Case</t>
        </is>
      </c>
      <c r="E5" s="152" t="inlineStr">
        <is>
          <t>Downside Case</t>
        </is>
      </c>
      <c r="F5" s="150" t="inlineStr">
        <is>
          <t>Base vs Upside</t>
        </is>
      </c>
      <c r="G5" s="150" t="inlineStr">
        <is>
          <t>Base vs Downside</t>
        </is>
      </c>
    </row>
    <row r="6" ht="15" customHeight="1" s="10">
      <c r="A6" s="153" t="inlineStr">
        <is>
          <t>Monthly New Customers</t>
        </is>
      </c>
      <c r="B6" s="154" t="n"/>
      <c r="C6" s="189" t="n">
        <v>3800</v>
      </c>
      <c r="D6" s="190" t="n">
        <v>4200</v>
      </c>
      <c r="E6" s="191" t="n">
        <v>3200</v>
      </c>
      <c r="F6" s="158" t="n">
        <v>0.1052631578947368</v>
      </c>
      <c r="G6" s="159" t="n">
        <v>-0.1578947368421053</v>
      </c>
    </row>
    <row r="7" ht="15" customHeight="1" s="10">
      <c r="A7" s="160" t="inlineStr">
        <is>
          <t>Monthly Churn %</t>
        </is>
      </c>
      <c r="B7" s="161" t="inlineStr">
        <is>
          <t>%</t>
        </is>
      </c>
      <c r="C7" s="162" t="n">
        <v>0.015</v>
      </c>
      <c r="D7" s="163" t="n">
        <v>0.012</v>
      </c>
      <c r="E7" s="164" t="n">
        <v>0.02</v>
      </c>
      <c r="F7" s="159" t="n">
        <v>-0.2</v>
      </c>
      <c r="G7" s="158" t="n">
        <v>0.3333333333333334</v>
      </c>
    </row>
    <row r="8" ht="15" customHeight="1" s="10">
      <c r="A8" s="153" t="inlineStr">
        <is>
          <t>Starting ARPU</t>
        </is>
      </c>
      <c r="B8" s="154" t="inlineStr">
        <is>
          <t>USD</t>
        </is>
      </c>
      <c r="C8" s="189" t="n">
        <v>947</v>
      </c>
      <c r="D8" s="190" t="n">
        <v>960</v>
      </c>
      <c r="E8" s="191" t="n">
        <v>920</v>
      </c>
      <c r="F8" s="158" t="n">
        <v>0.01372756071805702</v>
      </c>
      <c r="G8" s="159" t="n">
        <v>-0.02851108764519535</v>
      </c>
    </row>
    <row r="9" ht="15" customHeight="1" s="10">
      <c r="A9" s="160" t="inlineStr">
        <is>
          <t>Annual Price Uplift %</t>
        </is>
      </c>
      <c r="B9" s="161" t="inlineStr">
        <is>
          <t>%</t>
        </is>
      </c>
      <c r="C9" s="162" t="n">
        <v>0.02</v>
      </c>
      <c r="D9" s="163" t="n">
        <v>0.04</v>
      </c>
      <c r="E9" s="164" t="n">
        <v>0</v>
      </c>
      <c r="F9" s="158" t="n">
        <v>1</v>
      </c>
      <c r="G9" s="159" t="n">
        <v>-1</v>
      </c>
    </row>
    <row r="10" ht="15" customHeight="1" s="10">
      <c r="A10" s="153" t="inlineStr">
        <is>
          <t>Implementation Fee / Cust</t>
        </is>
      </c>
      <c r="B10" s="154" t="inlineStr">
        <is>
          <t>USD</t>
        </is>
      </c>
      <c r="C10" s="189" t="n">
        <v>3000</v>
      </c>
      <c r="D10" s="190" t="n">
        <v>3500</v>
      </c>
      <c r="E10" s="191" t="n">
        <v>2500</v>
      </c>
      <c r="F10" s="158" t="n">
        <v>0.1666666666666667</v>
      </c>
      <c r="G10" s="159" t="n">
        <v>-0.1666666666666667</v>
      </c>
    </row>
    <row r="11" ht="15" customHeight="1" s="10">
      <c r="A11" s="160" t="inlineStr">
        <is>
          <t>COGS % Revenue</t>
        </is>
      </c>
      <c r="B11" s="161" t="inlineStr">
        <is>
          <t>%</t>
        </is>
      </c>
      <c r="C11" s="162" t="n">
        <v>0.139</v>
      </c>
      <c r="D11" s="163" t="n">
        <v>0.13</v>
      </c>
      <c r="E11" s="164" t="n">
        <v>0.155</v>
      </c>
      <c r="F11" s="159" t="n">
        <v>-0.06474820143884898</v>
      </c>
      <c r="G11" s="158" t="n">
        <v>0.1151079136690646</v>
      </c>
    </row>
    <row r="12" ht="15" customHeight="1" s="10">
      <c r="A12" s="153" t="inlineStr">
        <is>
          <t>Capex % Revenue</t>
        </is>
      </c>
      <c r="B12" s="154" t="inlineStr">
        <is>
          <t>%</t>
        </is>
      </c>
      <c r="C12" s="162" t="n">
        <v>0.042</v>
      </c>
      <c r="D12" s="163" t="n">
        <v>0.038</v>
      </c>
      <c r="E12" s="164" t="n">
        <v>0.048</v>
      </c>
      <c r="F12" s="159" t="n">
        <v>-0.09523809523809532</v>
      </c>
      <c r="G12" s="158" t="n">
        <v>0.1428571428571428</v>
      </c>
    </row>
    <row r="13" ht="15" customHeight="1" s="10">
      <c r="A13" s="160" t="inlineStr">
        <is>
          <t>Marketing Programs % Rev</t>
        </is>
      </c>
      <c r="B13" s="161" t="inlineStr">
        <is>
          <t>%</t>
        </is>
      </c>
      <c r="C13" s="162" t="n">
        <v>0.09</v>
      </c>
      <c r="D13" s="163" t="n">
        <v>0.1</v>
      </c>
      <c r="E13" s="164" t="n">
        <v>0.08</v>
      </c>
      <c r="F13" s="158" t="n">
        <v>0.1111111111111112</v>
      </c>
      <c r="G13" s="159" t="n">
        <v>-0.1111111111111111</v>
      </c>
    </row>
    <row r="14" ht="15" customHeight="1" s="10">
      <c r="A14" s="153" t="inlineStr">
        <is>
          <t>Travel % Revenue</t>
        </is>
      </c>
      <c r="B14" s="154" t="inlineStr">
        <is>
          <t>%</t>
        </is>
      </c>
      <c r="C14" s="162" t="n">
        <v>0.01</v>
      </c>
      <c r="D14" s="163" t="n">
        <v>0.012</v>
      </c>
      <c r="E14" s="164" t="n">
        <v>0.008</v>
      </c>
      <c r="F14" s="158" t="n">
        <v>0.2</v>
      </c>
      <c r="G14" s="159" t="n">
        <v>-0.2</v>
      </c>
    </row>
    <row r="16" ht="18" customHeight="1" s="10">
      <c r="A16" s="149" t="inlineStr">
        <is>
          <t>SECTION 2 — FINANCIAL OUTPUT SUMMARY BY SCENARIO</t>
        </is>
      </c>
    </row>
    <row r="17" ht="16" customHeight="1" s="10">
      <c r="A17" s="165" t="inlineStr">
        <is>
          <t>Metric</t>
        </is>
      </c>
      <c r="B17" s="165" t="inlineStr">
        <is>
          <t>Unit</t>
        </is>
      </c>
      <c r="C17" s="165" t="inlineStr">
        <is>
          <t>Base Case</t>
        </is>
      </c>
      <c r="D17" s="165" t="inlineStr">
        <is>
          <t>Upside Case</t>
        </is>
      </c>
      <c r="E17" s="165" t="inlineStr">
        <is>
          <t>Downside Case</t>
        </is>
      </c>
      <c r="F17" s="165" t="inlineStr">
        <is>
          <t>Up vs Base Δ</t>
        </is>
      </c>
      <c r="G17" s="165" t="inlineStr">
        <is>
          <t>Dn vs Base Δ</t>
        </is>
      </c>
    </row>
    <row r="18" ht="15" customHeight="1" s="10">
      <c r="A18" s="153" t="inlineStr">
        <is>
          <t>FY2024 Revenue</t>
        </is>
      </c>
      <c r="B18" s="154" t="inlineStr">
        <is>
          <t>$M</t>
        </is>
      </c>
      <c r="C18" s="192" t="n">
        <v>2540.174205227401</v>
      </c>
      <c r="D18" s="193" t="n">
        <v>2710.560575339232</v>
      </c>
      <c r="E18" s="194" t="n">
        <v>2300.006806510142</v>
      </c>
      <c r="F18" s="158" t="n">
        <v>0.06707664764140787</v>
      </c>
      <c r="G18" s="159" t="n">
        <v>-0.09454760946041445</v>
      </c>
    </row>
    <row r="19" ht="15" customHeight="1" s="10">
      <c r="A19" s="160" t="inlineStr">
        <is>
          <t>FY2025 Revenue</t>
        </is>
      </c>
      <c r="B19" s="161" t="inlineStr">
        <is>
          <t>$M</t>
        </is>
      </c>
      <c r="C19" s="192" t="n">
        <v>2673.63840612563</v>
      </c>
      <c r="D19" s="193" t="n">
        <v>3034.535659457254</v>
      </c>
      <c r="E19" s="194" t="n">
        <v>2205.797379488687</v>
      </c>
      <c r="F19" s="158" t="n">
        <v>0.1349835686474148</v>
      </c>
      <c r="G19" s="159" t="n">
        <v>-0.1749829092689057</v>
      </c>
    </row>
    <row r="20" ht="15" customHeight="1" s="10">
      <c r="A20" s="153" t="inlineStr">
        <is>
          <t>FY2025 YoY Growth</t>
        </is>
      </c>
      <c r="B20" s="154" t="inlineStr">
        <is>
          <t>%</t>
        </is>
      </c>
      <c r="C20" s="169" t="n">
        <v>0.05254135744846727</v>
      </c>
      <c r="D20" s="158" t="n">
        <v>0.1195232776074281</v>
      </c>
      <c r="E20" s="159" t="n">
        <v>-0.04096049922756582</v>
      </c>
      <c r="F20" s="158" t="n">
        <v>1.274841827690822</v>
      </c>
      <c r="G20" s="159" t="n">
        <v>-1.779585858011758</v>
      </c>
    </row>
    <row r="21" ht="15" customHeight="1" s="10">
      <c r="A21" s="160" t="inlineStr">
        <is>
          <t>FY2024 ARR</t>
        </is>
      </c>
      <c r="B21" s="161" t="inlineStr">
        <is>
          <t>$M</t>
        </is>
      </c>
      <c r="C21" s="192" t="n">
        <v>2466.354858316978</v>
      </c>
      <c r="D21" s="193" t="n">
        <v>2684.270132323319</v>
      </c>
      <c r="E21" s="194" t="n">
        <v>2157.035626160781</v>
      </c>
      <c r="F21" s="158" t="n">
        <v>0.08835519887638744</v>
      </c>
      <c r="G21" s="159" t="n">
        <v>-0.1254155423389778</v>
      </c>
    </row>
    <row r="22" ht="15" customHeight="1" s="10">
      <c r="A22" s="153" t="inlineStr">
        <is>
          <t>FY2025 ARR</t>
        </is>
      </c>
      <c r="B22" s="154" t="inlineStr">
        <is>
          <t>$M</t>
        </is>
      </c>
      <c r="C22" s="192" t="n">
        <v>2594.948412575862</v>
      </c>
      <c r="D22" s="193" t="n">
        <v>3003.900066916741</v>
      </c>
      <c r="E22" s="194" t="n">
        <v>2072.93830873498</v>
      </c>
      <c r="F22" s="158" t="n">
        <v>0.1575952925919386</v>
      </c>
      <c r="G22" s="159" t="n">
        <v>-0.2011639619928748</v>
      </c>
    </row>
    <row r="23" ht="15" customHeight="1" s="10">
      <c r="A23" s="160" t="inlineStr">
        <is>
          <t>FY2024 Gross Margin</t>
        </is>
      </c>
      <c r="B23" s="161" t="inlineStr">
        <is>
          <t>%</t>
        </is>
      </c>
      <c r="C23" s="169" t="n">
        <v>0.8609999999999999</v>
      </c>
      <c r="D23" s="158" t="n">
        <v>0.87</v>
      </c>
      <c r="E23" s="159" t="n">
        <v>0.845</v>
      </c>
      <c r="F23" s="158" t="n">
        <v>0.01045296167247401</v>
      </c>
      <c r="G23" s="159" t="n">
        <v>-0.01858304297328676</v>
      </c>
    </row>
    <row r="24" ht="15" customHeight="1" s="10">
      <c r="A24" s="153" t="inlineStr">
        <is>
          <t>FY2025 Gross Margin</t>
        </is>
      </c>
      <c r="B24" s="154" t="inlineStr">
        <is>
          <t>%</t>
        </is>
      </c>
      <c r="C24" s="169" t="n">
        <v>0.8609999999999999</v>
      </c>
      <c r="D24" s="158" t="n">
        <v>0.87</v>
      </c>
      <c r="E24" s="159" t="n">
        <v>0.845</v>
      </c>
      <c r="F24" s="158" t="n">
        <v>0.01045296167247401</v>
      </c>
      <c r="G24" s="159" t="n">
        <v>-0.01858304297328676</v>
      </c>
    </row>
    <row r="25" ht="15" customHeight="1" s="10">
      <c r="A25" s="160" t="inlineStr">
        <is>
          <t>FY2024 EBITDA</t>
        </is>
      </c>
      <c r="B25" s="161" t="inlineStr">
        <is>
          <t>$M</t>
        </is>
      </c>
      <c r="C25" s="192" t="n">
        <v>1568.665913992158</v>
      </c>
      <c r="D25" s="193" t="n">
        <v>1699.305395828583</v>
      </c>
      <c r="E25" s="194" t="n">
        <v>1368.385472636327</v>
      </c>
      <c r="F25" s="158" t="n">
        <v>0.08328062761557399</v>
      </c>
      <c r="G25" s="159" t="n">
        <v>-0.1276756507356813</v>
      </c>
    </row>
    <row r="26" ht="15" customHeight="1" s="10">
      <c r="A26" s="153" t="inlineStr">
        <is>
          <t>FY2025 EBITDA</t>
        </is>
      </c>
      <c r="B26" s="154" t="inlineStr">
        <is>
          <t>$M</t>
        </is>
      </c>
      <c r="C26" s="192" t="n">
        <v>1595.495576299235</v>
      </c>
      <c r="D26" s="193" t="n">
        <v>1864.084308423044</v>
      </c>
      <c r="E26" s="194" t="n">
        <v>1232.648309593409</v>
      </c>
      <c r="F26" s="158" t="n">
        <v>0.1683418845615373</v>
      </c>
      <c r="G26" s="159" t="n">
        <v>-0.2274197886198175</v>
      </c>
    </row>
    <row r="27" ht="15" customHeight="1" s="10">
      <c r="A27" s="160" t="inlineStr">
        <is>
          <t>FY2024 EBITDA Margin</t>
        </is>
      </c>
      <c r="B27" s="161" t="inlineStr">
        <is>
          <t>%</t>
        </is>
      </c>
      <c r="C27" s="169" t="n">
        <v>0.6175426515094968</v>
      </c>
      <c r="D27" s="158" t="n">
        <v>0.6269202803615305</v>
      </c>
      <c r="E27" s="159" t="n">
        <v>0.594948444832045</v>
      </c>
      <c r="F27" s="158" t="n">
        <v>0.01518539461057683</v>
      </c>
      <c r="G27" s="159" t="n">
        <v>-0.03658728125453916</v>
      </c>
    </row>
    <row r="28" ht="15" customHeight="1" s="10">
      <c r="A28" s="153" t="inlineStr">
        <is>
          <t>FY2025 EBITDA Margin</t>
        </is>
      </c>
      <c r="B28" s="154" t="inlineStr">
        <is>
          <t>%</t>
        </is>
      </c>
      <c r="C28" s="169" t="n">
        <v>0.5967506947251209</v>
      </c>
      <c r="D28" s="158" t="n">
        <v>0.61428980167478</v>
      </c>
      <c r="E28" s="159" t="n">
        <v>0.5588220935683321</v>
      </c>
      <c r="F28" s="158" t="n">
        <v>0.02939101220106342</v>
      </c>
      <c r="G28" s="159" t="n">
        <v>-0.06355853707763116</v>
      </c>
    </row>
    <row r="29" ht="15" customHeight="1" s="10">
      <c r="A29" s="160" t="inlineStr">
        <is>
          <t>FY2024 End Customers</t>
        </is>
      </c>
      <c r="B29" s="161" t="n"/>
      <c r="C29" s="195" t="n">
        <v>213092.8608726433</v>
      </c>
      <c r="D29" s="196" t="n">
        <v>224634.3102392968</v>
      </c>
      <c r="E29" s="197" t="n">
        <v>195383.6617899259</v>
      </c>
      <c r="F29" s="158" t="n">
        <v>0.05416159565078699</v>
      </c>
      <c r="G29" s="159" t="n">
        <v>-0.08310554849278347</v>
      </c>
    </row>
    <row r="30" ht="15" customHeight="1" s="10">
      <c r="A30" s="153" t="inlineStr">
        <is>
          <t>FY2025 End Customers</t>
        </is>
      </c>
      <c r="B30" s="154" t="n"/>
      <c r="C30" s="195" t="n">
        <v>219767.468832731</v>
      </c>
      <c r="D30" s="196" t="n">
        <v>241541.8906404924</v>
      </c>
      <c r="E30" s="197" t="n">
        <v>187766.1511535308</v>
      </c>
      <c r="F30" s="158" t="n">
        <v>0.09907936749425943</v>
      </c>
      <c r="G30" s="159" t="n">
        <v>-0.1456144435260206</v>
      </c>
    </row>
    <row r="32">
      <c r="A32" s="173" t="inlineStr">
        <is>
          <t>COLOUR LEGEND</t>
        </is>
      </c>
    </row>
    <row r="33">
      <c r="A33" s="174" t="inlineStr">
        <is>
          <t>Blue text</t>
        </is>
      </c>
      <c r="B33" s="175" t="inlineStr">
        <is>
          <t>Hardcoded input assumption (change in Assumptions sheet)</t>
        </is>
      </c>
      <c r="C33" s="198" t="n"/>
      <c r="D33" s="198" t="n"/>
      <c r="E33" s="198" t="n"/>
      <c r="F33" s="198" t="n"/>
      <c r="G33" s="199" t="n"/>
    </row>
    <row r="34">
      <c r="A34" s="176" t="inlineStr">
        <is>
          <t>Green</t>
        </is>
      </c>
      <c r="B34" s="175" t="inlineStr">
        <is>
          <t>Favourable vs Base / Upside scenario</t>
        </is>
      </c>
      <c r="C34" s="198" t="n"/>
      <c r="D34" s="198" t="n"/>
      <c r="E34" s="198" t="n"/>
      <c r="F34" s="198" t="n"/>
      <c r="G34" s="199" t="n"/>
    </row>
    <row r="35">
      <c r="A35" s="177" t="inlineStr">
        <is>
          <t>Red</t>
        </is>
      </c>
      <c r="B35" s="175" t="inlineStr">
        <is>
          <t>Unfavourable vs Base / Downside scenario</t>
        </is>
      </c>
      <c r="C35" s="198" t="n"/>
      <c r="D35" s="198" t="n"/>
      <c r="E35" s="198" t="n"/>
      <c r="F35" s="198" t="n"/>
      <c r="G35" s="199" t="n"/>
    </row>
    <row r="36">
      <c r="A36" s="178" t="inlineStr">
        <is>
          <t>Navy</t>
        </is>
      </c>
      <c r="B36" s="175" t="inlineStr">
        <is>
          <t>Base Case</t>
        </is>
      </c>
      <c r="C36" s="198" t="n"/>
      <c r="D36" s="198" t="n"/>
      <c r="E36" s="198" t="n"/>
      <c r="F36" s="198" t="n"/>
      <c r="G36" s="199" t="n"/>
    </row>
  </sheetData>
  <mergeCells count="9">
    <mergeCell ref="A32:G32"/>
    <mergeCell ref="B34:G34"/>
    <mergeCell ref="A1:G1"/>
    <mergeCell ref="B36:G36"/>
    <mergeCell ref="A4:G4"/>
    <mergeCell ref="B35:G35"/>
    <mergeCell ref="A16:G16"/>
    <mergeCell ref="A2:G2"/>
    <mergeCell ref="B33:G3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19"/>
  <sheetViews>
    <sheetView showGridLines="0" zoomScaleNormal="100" workbookViewId="0">
      <selection activeCell="A1" sqref="A1"/>
    </sheetView>
  </sheetViews>
  <sheetFormatPr baseColWidth="8" defaultColWidth="8.7109375" defaultRowHeight="12.75"/>
  <cols>
    <col width="26" customWidth="1" style="10" min="1" max="1"/>
    <col width="12" customWidth="1" style="10" min="2" max="25"/>
  </cols>
  <sheetData>
    <row r="1" ht="24" customHeight="1" s="10">
      <c r="A1" s="16" t="inlineStr">
        <is>
          <t>Balance Sheet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</row>
    <row r="2" ht="18" customHeight="1" s="10">
      <c r="A2" s="17" t="inlineStr">
        <is>
          <t>Integrated monthly balance sheet with balance check.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</row>
    <row r="3" ht="18" customHeight="1" s="10">
      <c r="A3" s="3" t="inlineStr">
        <is>
          <t>Monthly Balance Sheet</t>
        </is>
      </c>
      <c r="B3" s="145" t="n"/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5" t="n"/>
      <c r="R3" s="145" t="n"/>
      <c r="S3" s="145" t="n"/>
      <c r="T3" s="145" t="n"/>
      <c r="U3" s="145" t="n"/>
      <c r="V3" s="145" t="n"/>
      <c r="W3" s="145" t="n"/>
      <c r="X3" s="145" t="n"/>
      <c r="Y3" s="145" t="n"/>
    </row>
    <row r="4" ht="18" customHeight="1" s="10">
      <c r="A4" s="82" t="n"/>
      <c r="B4" s="83">
        <f>Assumptions!$F$6</f>
        <v/>
      </c>
      <c r="C4" s="83">
        <f>DATE(YEAR(B4),MONTH(B4)+1,1)</f>
        <v/>
      </c>
      <c r="D4" s="83">
        <f>DATE(YEAR(C4),MONTH(C4)+1,1)</f>
        <v/>
      </c>
      <c r="E4" s="83">
        <f>DATE(YEAR(D4),MONTH(D4)+1,1)</f>
        <v/>
      </c>
      <c r="F4" s="83">
        <f>DATE(YEAR(E4),MONTH(E4)+1,1)</f>
        <v/>
      </c>
      <c r="G4" s="83">
        <f>DATE(YEAR(F4),MONTH(F4)+1,1)</f>
        <v/>
      </c>
      <c r="H4" s="83">
        <f>DATE(YEAR(G4),MONTH(G4)+1,1)</f>
        <v/>
      </c>
      <c r="I4" s="83">
        <f>DATE(YEAR(H4),MONTH(H4)+1,1)</f>
        <v/>
      </c>
      <c r="J4" s="83">
        <f>DATE(YEAR(I4),MONTH(I4)+1,1)</f>
        <v/>
      </c>
      <c r="K4" s="83">
        <f>DATE(YEAR(J4),MONTH(J4)+1,1)</f>
        <v/>
      </c>
      <c r="L4" s="83">
        <f>DATE(YEAR(K4),MONTH(K4)+1,1)</f>
        <v/>
      </c>
      <c r="M4" s="83">
        <f>DATE(YEAR(L4),MONTH(L4)+1,1)</f>
        <v/>
      </c>
      <c r="N4" s="83">
        <f>DATE(YEAR(M4),MONTH(M4)+1,1)</f>
        <v/>
      </c>
      <c r="O4" s="83">
        <f>DATE(YEAR(N4),MONTH(N4)+1,1)</f>
        <v/>
      </c>
      <c r="P4" s="83">
        <f>DATE(YEAR(O4),MONTH(O4)+1,1)</f>
        <v/>
      </c>
      <c r="Q4" s="83">
        <f>DATE(YEAR(P4),MONTH(P4)+1,1)</f>
        <v/>
      </c>
      <c r="R4" s="83">
        <f>DATE(YEAR(Q4),MONTH(Q4)+1,1)</f>
        <v/>
      </c>
      <c r="S4" s="83">
        <f>DATE(YEAR(R4),MONTH(R4)+1,1)</f>
        <v/>
      </c>
      <c r="T4" s="83">
        <f>DATE(YEAR(S4),MONTH(S4)+1,1)</f>
        <v/>
      </c>
      <c r="U4" s="83">
        <f>DATE(YEAR(T4),MONTH(T4)+1,1)</f>
        <v/>
      </c>
      <c r="V4" s="83">
        <f>DATE(YEAR(U4),MONTH(U4)+1,1)</f>
        <v/>
      </c>
      <c r="W4" s="83">
        <f>DATE(YEAR(V4),MONTH(V4)+1,1)</f>
        <v/>
      </c>
      <c r="X4" s="83">
        <f>DATE(YEAR(W4),MONTH(W4)+1,1)</f>
        <v/>
      </c>
      <c r="Y4" s="83">
        <f>DATE(YEAR(X4),MONTH(X4)+1,1)</f>
        <v/>
      </c>
    </row>
    <row r="5" ht="18" customHeight="1" s="10">
      <c r="A5" s="18" t="n"/>
    </row>
    <row r="6" ht="18" customHeight="1" s="10">
      <c r="A6" s="84" t="inlineStr">
        <is>
          <t>Cash</t>
        </is>
      </c>
      <c r="B6" s="78">
        <f>CF!B21</f>
        <v/>
      </c>
      <c r="C6" s="78">
        <f>CF!C21</f>
        <v/>
      </c>
      <c r="D6" s="78">
        <f>CF!D21</f>
        <v/>
      </c>
      <c r="E6" s="78">
        <f>CF!E21</f>
        <v/>
      </c>
      <c r="F6" s="78">
        <f>CF!F21</f>
        <v/>
      </c>
      <c r="G6" s="78">
        <f>CF!G21</f>
        <v/>
      </c>
      <c r="H6" s="78">
        <f>CF!H21</f>
        <v/>
      </c>
      <c r="I6" s="78">
        <f>CF!I21</f>
        <v/>
      </c>
      <c r="J6" s="78">
        <f>CF!J21</f>
        <v/>
      </c>
      <c r="K6" s="78">
        <f>CF!K21</f>
        <v/>
      </c>
      <c r="L6" s="78">
        <f>CF!L21</f>
        <v/>
      </c>
      <c r="M6" s="78">
        <f>CF!M21</f>
        <v/>
      </c>
      <c r="N6" s="78">
        <f>CF!N21</f>
        <v/>
      </c>
      <c r="O6" s="78">
        <f>CF!O21</f>
        <v/>
      </c>
      <c r="P6" s="78">
        <f>CF!P21</f>
        <v/>
      </c>
      <c r="Q6" s="78">
        <f>CF!Q21</f>
        <v/>
      </c>
      <c r="R6" s="78">
        <f>CF!R21</f>
        <v/>
      </c>
      <c r="S6" s="78">
        <f>CF!S21</f>
        <v/>
      </c>
      <c r="T6" s="78">
        <f>CF!T21</f>
        <v/>
      </c>
      <c r="U6" s="78">
        <f>CF!U21</f>
        <v/>
      </c>
      <c r="V6" s="78">
        <f>CF!V21</f>
        <v/>
      </c>
      <c r="W6" s="78">
        <f>CF!W21</f>
        <v/>
      </c>
      <c r="X6" s="78">
        <f>CF!X21</f>
        <v/>
      </c>
      <c r="Y6" s="78">
        <f>CF!Y21</f>
        <v/>
      </c>
    </row>
    <row r="7" ht="18" customHeight="1" s="10">
      <c r="A7" s="84" t="inlineStr">
        <is>
          <t>Accounts Receivable</t>
        </is>
      </c>
      <c r="B7" s="78">
        <f>Working_Capital!B6</f>
        <v/>
      </c>
      <c r="C7" s="78">
        <f>Working_Capital!C6</f>
        <v/>
      </c>
      <c r="D7" s="78">
        <f>Working_Capital!D6</f>
        <v/>
      </c>
      <c r="E7" s="78">
        <f>Working_Capital!E6</f>
        <v/>
      </c>
      <c r="F7" s="78">
        <f>Working_Capital!F6</f>
        <v/>
      </c>
      <c r="G7" s="78">
        <f>Working_Capital!G6</f>
        <v/>
      </c>
      <c r="H7" s="78">
        <f>Working_Capital!H6</f>
        <v/>
      </c>
      <c r="I7" s="78">
        <f>Working_Capital!I6</f>
        <v/>
      </c>
      <c r="J7" s="78">
        <f>Working_Capital!J6</f>
        <v/>
      </c>
      <c r="K7" s="78">
        <f>Working_Capital!K6</f>
        <v/>
      </c>
      <c r="L7" s="78">
        <f>Working_Capital!L6</f>
        <v/>
      </c>
      <c r="M7" s="78">
        <f>Working_Capital!M6</f>
        <v/>
      </c>
      <c r="N7" s="78">
        <f>Working_Capital!N6</f>
        <v/>
      </c>
      <c r="O7" s="78">
        <f>Working_Capital!O6</f>
        <v/>
      </c>
      <c r="P7" s="78">
        <f>Working_Capital!P6</f>
        <v/>
      </c>
      <c r="Q7" s="78">
        <f>Working_Capital!Q6</f>
        <v/>
      </c>
      <c r="R7" s="78">
        <f>Working_Capital!R6</f>
        <v/>
      </c>
      <c r="S7" s="78">
        <f>Working_Capital!S6</f>
        <v/>
      </c>
      <c r="T7" s="78">
        <f>Working_Capital!T6</f>
        <v/>
      </c>
      <c r="U7" s="78">
        <f>Working_Capital!U6</f>
        <v/>
      </c>
      <c r="V7" s="78">
        <f>Working_Capital!V6</f>
        <v/>
      </c>
      <c r="W7" s="78">
        <f>Working_Capital!W6</f>
        <v/>
      </c>
      <c r="X7" s="78">
        <f>Working_Capital!X6</f>
        <v/>
      </c>
      <c r="Y7" s="78">
        <f>Working_Capital!Y6</f>
        <v/>
      </c>
    </row>
    <row r="8" ht="18" customHeight="1" s="10">
      <c r="A8" s="84" t="inlineStr">
        <is>
          <t>Net PP&amp;E</t>
        </is>
      </c>
      <c r="B8" s="78">
        <f>Capex!B9</f>
        <v/>
      </c>
      <c r="C8" s="78">
        <f>Capex!C9</f>
        <v/>
      </c>
      <c r="D8" s="78">
        <f>Capex!D9</f>
        <v/>
      </c>
      <c r="E8" s="78">
        <f>Capex!E9</f>
        <v/>
      </c>
      <c r="F8" s="78">
        <f>Capex!F9</f>
        <v/>
      </c>
      <c r="G8" s="78">
        <f>Capex!G9</f>
        <v/>
      </c>
      <c r="H8" s="78">
        <f>Capex!H9</f>
        <v/>
      </c>
      <c r="I8" s="78">
        <f>Capex!I9</f>
        <v/>
      </c>
      <c r="J8" s="78">
        <f>Capex!J9</f>
        <v/>
      </c>
      <c r="K8" s="78">
        <f>Capex!K9</f>
        <v/>
      </c>
      <c r="L8" s="78">
        <f>Capex!L9</f>
        <v/>
      </c>
      <c r="M8" s="78">
        <f>Capex!M9</f>
        <v/>
      </c>
      <c r="N8" s="78">
        <f>Capex!N9</f>
        <v/>
      </c>
      <c r="O8" s="78">
        <f>Capex!O9</f>
        <v/>
      </c>
      <c r="P8" s="78">
        <f>Capex!P9</f>
        <v/>
      </c>
      <c r="Q8" s="78">
        <f>Capex!Q9</f>
        <v/>
      </c>
      <c r="R8" s="78">
        <f>Capex!R9</f>
        <v/>
      </c>
      <c r="S8" s="78">
        <f>Capex!S9</f>
        <v/>
      </c>
      <c r="T8" s="78">
        <f>Capex!T9</f>
        <v/>
      </c>
      <c r="U8" s="78">
        <f>Capex!U9</f>
        <v/>
      </c>
      <c r="V8" s="78">
        <f>Capex!V9</f>
        <v/>
      </c>
      <c r="W8" s="78">
        <f>Capex!W9</f>
        <v/>
      </c>
      <c r="X8" s="78">
        <f>Capex!X9</f>
        <v/>
      </c>
      <c r="Y8" s="78">
        <f>Capex!Y9</f>
        <v/>
      </c>
    </row>
    <row r="9" ht="18" customHeight="1" s="10">
      <c r="A9" s="87" t="inlineStr">
        <is>
          <t>Total Assets</t>
        </is>
      </c>
      <c r="B9" s="61">
        <f>SUM(B6:B8)</f>
        <v/>
      </c>
      <c r="C9" s="61">
        <f>SUM(C6:C8)</f>
        <v/>
      </c>
      <c r="D9" s="61">
        <f>SUM(D6:D8)</f>
        <v/>
      </c>
      <c r="E9" s="61">
        <f>SUM(E6:E8)</f>
        <v/>
      </c>
      <c r="F9" s="61">
        <f>SUM(F6:F8)</f>
        <v/>
      </c>
      <c r="G9" s="61">
        <f>SUM(G6:G8)</f>
        <v/>
      </c>
      <c r="H9" s="61">
        <f>SUM(H6:H8)</f>
        <v/>
      </c>
      <c r="I9" s="61">
        <f>SUM(I6:I8)</f>
        <v/>
      </c>
      <c r="J9" s="61">
        <f>SUM(J6:J8)</f>
        <v/>
      </c>
      <c r="K9" s="61">
        <f>SUM(K6:K8)</f>
        <v/>
      </c>
      <c r="L9" s="61">
        <f>SUM(L6:L8)</f>
        <v/>
      </c>
      <c r="M9" s="61">
        <f>SUM(M6:M8)</f>
        <v/>
      </c>
      <c r="N9" s="61">
        <f>SUM(N6:N8)</f>
        <v/>
      </c>
      <c r="O9" s="61">
        <f>SUM(O6:O8)</f>
        <v/>
      </c>
      <c r="P9" s="61">
        <f>SUM(P6:P8)</f>
        <v/>
      </c>
      <c r="Q9" s="61">
        <f>SUM(Q6:Q8)</f>
        <v/>
      </c>
      <c r="R9" s="61">
        <f>SUM(R6:R8)</f>
        <v/>
      </c>
      <c r="S9" s="61">
        <f>SUM(S6:S8)</f>
        <v/>
      </c>
      <c r="T9" s="61">
        <f>SUM(T6:T8)</f>
        <v/>
      </c>
      <c r="U9" s="61">
        <f>SUM(U6:U8)</f>
        <v/>
      </c>
      <c r="V9" s="61">
        <f>SUM(V6:V8)</f>
        <v/>
      </c>
      <c r="W9" s="61">
        <f>SUM(W6:W8)</f>
        <v/>
      </c>
      <c r="X9" s="61">
        <f>SUM(X6:X8)</f>
        <v/>
      </c>
      <c r="Y9" s="61">
        <f>SUM(Y6:Y8)</f>
        <v/>
      </c>
    </row>
    <row r="10" ht="18" customHeight="1" s="10">
      <c r="A10" s="18" t="n"/>
    </row>
    <row r="11" ht="18" customHeight="1" s="10">
      <c r="A11" s="84" t="inlineStr">
        <is>
          <t>Accounts Payable</t>
        </is>
      </c>
      <c r="B11" s="78">
        <f>Working_Capital!B8</f>
        <v/>
      </c>
      <c r="C11" s="78">
        <f>Working_Capital!C8</f>
        <v/>
      </c>
      <c r="D11" s="78">
        <f>Working_Capital!D8</f>
        <v/>
      </c>
      <c r="E11" s="78">
        <f>Working_Capital!E8</f>
        <v/>
      </c>
      <c r="F11" s="78">
        <f>Working_Capital!F8</f>
        <v/>
      </c>
      <c r="G11" s="78">
        <f>Working_Capital!G8</f>
        <v/>
      </c>
      <c r="H11" s="78">
        <f>Working_Capital!H8</f>
        <v/>
      </c>
      <c r="I11" s="78">
        <f>Working_Capital!I8</f>
        <v/>
      </c>
      <c r="J11" s="78">
        <f>Working_Capital!J8</f>
        <v/>
      </c>
      <c r="K11" s="78">
        <f>Working_Capital!K8</f>
        <v/>
      </c>
      <c r="L11" s="78">
        <f>Working_Capital!L8</f>
        <v/>
      </c>
      <c r="M11" s="78">
        <f>Working_Capital!M8</f>
        <v/>
      </c>
      <c r="N11" s="78">
        <f>Working_Capital!N8</f>
        <v/>
      </c>
      <c r="O11" s="78">
        <f>Working_Capital!O8</f>
        <v/>
      </c>
      <c r="P11" s="78">
        <f>Working_Capital!P8</f>
        <v/>
      </c>
      <c r="Q11" s="78">
        <f>Working_Capital!Q8</f>
        <v/>
      </c>
      <c r="R11" s="78">
        <f>Working_Capital!R8</f>
        <v/>
      </c>
      <c r="S11" s="78">
        <f>Working_Capital!S8</f>
        <v/>
      </c>
      <c r="T11" s="78">
        <f>Working_Capital!T8</f>
        <v/>
      </c>
      <c r="U11" s="78">
        <f>Working_Capital!U8</f>
        <v/>
      </c>
      <c r="V11" s="78">
        <f>Working_Capital!V8</f>
        <v/>
      </c>
      <c r="W11" s="78">
        <f>Working_Capital!W8</f>
        <v/>
      </c>
      <c r="X11" s="78">
        <f>Working_Capital!X8</f>
        <v/>
      </c>
      <c r="Y11" s="78">
        <f>Working_Capital!Y8</f>
        <v/>
      </c>
    </row>
    <row r="12" ht="18" customHeight="1" s="10">
      <c r="A12" s="84" t="inlineStr">
        <is>
          <t>Debt</t>
        </is>
      </c>
      <c r="B12" s="78">
        <f>Debt!B9</f>
        <v/>
      </c>
      <c r="C12" s="78">
        <f>Debt!C9</f>
        <v/>
      </c>
      <c r="D12" s="78">
        <f>Debt!D9</f>
        <v/>
      </c>
      <c r="E12" s="78">
        <f>Debt!E9</f>
        <v/>
      </c>
      <c r="F12" s="78">
        <f>Debt!F9</f>
        <v/>
      </c>
      <c r="G12" s="78">
        <f>Debt!G9</f>
        <v/>
      </c>
      <c r="H12" s="78">
        <f>Debt!H9</f>
        <v/>
      </c>
      <c r="I12" s="78">
        <f>Debt!I9</f>
        <v/>
      </c>
      <c r="J12" s="78">
        <f>Debt!J9</f>
        <v/>
      </c>
      <c r="K12" s="78">
        <f>Debt!K9</f>
        <v/>
      </c>
      <c r="L12" s="78">
        <f>Debt!L9</f>
        <v/>
      </c>
      <c r="M12" s="78">
        <f>Debt!M9</f>
        <v/>
      </c>
      <c r="N12" s="78">
        <f>Debt!N9</f>
        <v/>
      </c>
      <c r="O12" s="78">
        <f>Debt!O9</f>
        <v/>
      </c>
      <c r="P12" s="78">
        <f>Debt!P9</f>
        <v/>
      </c>
      <c r="Q12" s="78">
        <f>Debt!Q9</f>
        <v/>
      </c>
      <c r="R12" s="78">
        <f>Debt!R9</f>
        <v/>
      </c>
      <c r="S12" s="78">
        <f>Debt!S9</f>
        <v/>
      </c>
      <c r="T12" s="78">
        <f>Debt!T9</f>
        <v/>
      </c>
      <c r="U12" s="78">
        <f>Debt!U9</f>
        <v/>
      </c>
      <c r="V12" s="78">
        <f>Debt!V9</f>
        <v/>
      </c>
      <c r="W12" s="78">
        <f>Debt!W9</f>
        <v/>
      </c>
      <c r="X12" s="78">
        <f>Debt!X9</f>
        <v/>
      </c>
      <c r="Y12" s="78">
        <f>Debt!Y9</f>
        <v/>
      </c>
    </row>
    <row r="13" ht="18" customHeight="1" s="10">
      <c r="A13" s="87" t="inlineStr">
        <is>
          <t>Total Liabilities</t>
        </is>
      </c>
      <c r="B13" s="38">
        <f>SUM(B11:B12)</f>
        <v/>
      </c>
      <c r="C13" s="38">
        <f>SUM(C11:C12)</f>
        <v/>
      </c>
      <c r="D13" s="38">
        <f>SUM(D11:D12)</f>
        <v/>
      </c>
      <c r="E13" s="38">
        <f>SUM(E11:E12)</f>
        <v/>
      </c>
      <c r="F13" s="38">
        <f>SUM(F11:F12)</f>
        <v/>
      </c>
      <c r="G13" s="38">
        <f>SUM(G11:G12)</f>
        <v/>
      </c>
      <c r="H13" s="38">
        <f>SUM(H11:H12)</f>
        <v/>
      </c>
      <c r="I13" s="38">
        <f>SUM(I11:I12)</f>
        <v/>
      </c>
      <c r="J13" s="38">
        <f>SUM(J11:J12)</f>
        <v/>
      </c>
      <c r="K13" s="38">
        <f>SUM(K11:K12)</f>
        <v/>
      </c>
      <c r="L13" s="38">
        <f>SUM(L11:L12)</f>
        <v/>
      </c>
      <c r="M13" s="38">
        <f>SUM(M11:M12)</f>
        <v/>
      </c>
      <c r="N13" s="38">
        <f>SUM(N11:N12)</f>
        <v/>
      </c>
      <c r="O13" s="38">
        <f>SUM(O11:O12)</f>
        <v/>
      </c>
      <c r="P13" s="38">
        <f>SUM(P11:P12)</f>
        <v/>
      </c>
      <c r="Q13" s="38">
        <f>SUM(Q11:Q12)</f>
        <v/>
      </c>
      <c r="R13" s="38">
        <f>SUM(R11:R12)</f>
        <v/>
      </c>
      <c r="S13" s="38">
        <f>SUM(S11:S12)</f>
        <v/>
      </c>
      <c r="T13" s="38">
        <f>SUM(T11:T12)</f>
        <v/>
      </c>
      <c r="U13" s="38">
        <f>SUM(U11:U12)</f>
        <v/>
      </c>
      <c r="V13" s="38">
        <f>SUM(V11:V12)</f>
        <v/>
      </c>
      <c r="W13" s="38">
        <f>SUM(W11:W12)</f>
        <v/>
      </c>
      <c r="X13" s="38">
        <f>SUM(X11:X12)</f>
        <v/>
      </c>
      <c r="Y13" s="38">
        <f>SUM(Y11:Y12)</f>
        <v/>
      </c>
    </row>
    <row r="14" ht="18" customHeight="1" s="10">
      <c r="A14" s="18" t="n"/>
    </row>
    <row r="15" ht="18" customHeight="1" s="10">
      <c r="A15" s="84" t="inlineStr">
        <is>
          <t>Share Capital</t>
        </is>
      </c>
      <c r="B15" s="38">
        <f>Assumptions!$F$12</f>
        <v/>
      </c>
      <c r="C15" s="38">
        <f>Assumptions!$F$12</f>
        <v/>
      </c>
      <c r="D15" s="38">
        <f>Assumptions!$F$12</f>
        <v/>
      </c>
      <c r="E15" s="38">
        <f>Assumptions!$F$12</f>
        <v/>
      </c>
      <c r="F15" s="38">
        <f>Assumptions!$F$12</f>
        <v/>
      </c>
      <c r="G15" s="38">
        <f>Assumptions!$F$12</f>
        <v/>
      </c>
      <c r="H15" s="38">
        <f>Assumptions!$F$12</f>
        <v/>
      </c>
      <c r="I15" s="38">
        <f>Assumptions!$F$12</f>
        <v/>
      </c>
      <c r="J15" s="38">
        <f>Assumptions!$F$12</f>
        <v/>
      </c>
      <c r="K15" s="38">
        <f>Assumptions!$F$12</f>
        <v/>
      </c>
      <c r="L15" s="38">
        <f>Assumptions!$F$12</f>
        <v/>
      </c>
      <c r="M15" s="38">
        <f>Assumptions!$F$12</f>
        <v/>
      </c>
      <c r="N15" s="38">
        <f>Assumptions!$F$12</f>
        <v/>
      </c>
      <c r="O15" s="38">
        <f>Assumptions!$F$12</f>
        <v/>
      </c>
      <c r="P15" s="38">
        <f>Assumptions!$F$12</f>
        <v/>
      </c>
      <c r="Q15" s="38">
        <f>Assumptions!$F$12</f>
        <v/>
      </c>
      <c r="R15" s="38">
        <f>Assumptions!$F$12</f>
        <v/>
      </c>
      <c r="S15" s="38">
        <f>Assumptions!$F$12</f>
        <v/>
      </c>
      <c r="T15" s="38">
        <f>Assumptions!$F$12</f>
        <v/>
      </c>
      <c r="U15" s="38">
        <f>Assumptions!$F$12</f>
        <v/>
      </c>
      <c r="V15" s="38">
        <f>Assumptions!$F$12</f>
        <v/>
      </c>
      <c r="W15" s="38">
        <f>Assumptions!$F$12</f>
        <v/>
      </c>
      <c r="X15" s="38">
        <f>Assumptions!$F$12</f>
        <v/>
      </c>
      <c r="Y15" s="38">
        <f>Assumptions!$F$12</f>
        <v/>
      </c>
    </row>
    <row r="16" ht="18" customHeight="1" s="10">
      <c r="A16" s="84" t="inlineStr">
        <is>
          <t>Retained Earnings</t>
        </is>
      </c>
      <c r="B16" s="38">
        <f>Assumptions!$F$13+IS!B18</f>
        <v/>
      </c>
      <c r="C16" s="38">
        <f>B16+IS!C18</f>
        <v/>
      </c>
      <c r="D16" s="38">
        <f>C16+IS!D18</f>
        <v/>
      </c>
      <c r="E16" s="38">
        <f>D16+IS!E18</f>
        <v/>
      </c>
      <c r="F16" s="38">
        <f>E16+IS!F18</f>
        <v/>
      </c>
      <c r="G16" s="38">
        <f>F16+IS!G18</f>
        <v/>
      </c>
      <c r="H16" s="38">
        <f>G16+IS!H18</f>
        <v/>
      </c>
      <c r="I16" s="38">
        <f>H16+IS!I18</f>
        <v/>
      </c>
      <c r="J16" s="38">
        <f>I16+IS!J18</f>
        <v/>
      </c>
      <c r="K16" s="38">
        <f>J16+IS!K18</f>
        <v/>
      </c>
      <c r="L16" s="38">
        <f>K16+IS!L18</f>
        <v/>
      </c>
      <c r="M16" s="38">
        <f>L16+IS!M18</f>
        <v/>
      </c>
      <c r="N16" s="38">
        <f>M16+IS!N18</f>
        <v/>
      </c>
      <c r="O16" s="38">
        <f>N16+IS!O18</f>
        <v/>
      </c>
      <c r="P16" s="38">
        <f>O16+IS!P18</f>
        <v/>
      </c>
      <c r="Q16" s="38">
        <f>P16+IS!Q18</f>
        <v/>
      </c>
      <c r="R16" s="38">
        <f>Q16+IS!R18</f>
        <v/>
      </c>
      <c r="S16" s="38">
        <f>R16+IS!S18</f>
        <v/>
      </c>
      <c r="T16" s="38">
        <f>S16+IS!T18</f>
        <v/>
      </c>
      <c r="U16" s="38">
        <f>T16+IS!U18</f>
        <v/>
      </c>
      <c r="V16" s="38">
        <f>U16+IS!V18</f>
        <v/>
      </c>
      <c r="W16" s="38">
        <f>V16+IS!W18</f>
        <v/>
      </c>
      <c r="X16" s="38">
        <f>W16+IS!X18</f>
        <v/>
      </c>
      <c r="Y16" s="38">
        <f>X16+IS!Y18</f>
        <v/>
      </c>
    </row>
    <row r="17" ht="18" customHeight="1" s="10">
      <c r="A17" s="87" t="inlineStr">
        <is>
          <t>Total Equity</t>
        </is>
      </c>
      <c r="B17" s="38">
        <f>B15+B16</f>
        <v/>
      </c>
      <c r="C17" s="38">
        <f>C15+C16</f>
        <v/>
      </c>
      <c r="D17" s="38">
        <f>D15+D16</f>
        <v/>
      </c>
      <c r="E17" s="38">
        <f>E15+E16</f>
        <v/>
      </c>
      <c r="F17" s="38">
        <f>F15+F16</f>
        <v/>
      </c>
      <c r="G17" s="38">
        <f>G15+G16</f>
        <v/>
      </c>
      <c r="H17" s="38">
        <f>H15+H16</f>
        <v/>
      </c>
      <c r="I17" s="38">
        <f>I15+I16</f>
        <v/>
      </c>
      <c r="J17" s="38">
        <f>J15+J16</f>
        <v/>
      </c>
      <c r="K17" s="38">
        <f>K15+K16</f>
        <v/>
      </c>
      <c r="L17" s="38">
        <f>L15+L16</f>
        <v/>
      </c>
      <c r="M17" s="38">
        <f>M15+M16</f>
        <v/>
      </c>
      <c r="N17" s="38">
        <f>N15+N16</f>
        <v/>
      </c>
      <c r="O17" s="38">
        <f>O15+O16</f>
        <v/>
      </c>
      <c r="P17" s="38">
        <f>P15+P16</f>
        <v/>
      </c>
      <c r="Q17" s="38">
        <f>Q15+Q16</f>
        <v/>
      </c>
      <c r="R17" s="38">
        <f>R15+R16</f>
        <v/>
      </c>
      <c r="S17" s="38">
        <f>S15+S16</f>
        <v/>
      </c>
      <c r="T17" s="38">
        <f>T15+T16</f>
        <v/>
      </c>
      <c r="U17" s="38">
        <f>U15+U16</f>
        <v/>
      </c>
      <c r="V17" s="38">
        <f>V15+V16</f>
        <v/>
      </c>
      <c r="W17" s="38">
        <f>W15+W16</f>
        <v/>
      </c>
      <c r="X17" s="38">
        <f>X15+X16</f>
        <v/>
      </c>
      <c r="Y17" s="38">
        <f>Y15+Y16</f>
        <v/>
      </c>
    </row>
    <row r="18" ht="18" customHeight="1" s="10">
      <c r="A18" s="87" t="inlineStr">
        <is>
          <t>Total Liabilities + Equity</t>
        </is>
      </c>
      <c r="B18" s="38">
        <f>B13+B17</f>
        <v/>
      </c>
      <c r="C18" s="38">
        <f>C13+C17</f>
        <v/>
      </c>
      <c r="D18" s="38">
        <f>D13+D17</f>
        <v/>
      </c>
      <c r="E18" s="38">
        <f>E13+E17</f>
        <v/>
      </c>
      <c r="F18" s="38">
        <f>F13+F17</f>
        <v/>
      </c>
      <c r="G18" s="38">
        <f>G13+G17</f>
        <v/>
      </c>
      <c r="H18" s="38">
        <f>H13+H17</f>
        <v/>
      </c>
      <c r="I18" s="38">
        <f>I13+I17</f>
        <v/>
      </c>
      <c r="J18" s="38">
        <f>J13+J17</f>
        <v/>
      </c>
      <c r="K18" s="38">
        <f>K13+K17</f>
        <v/>
      </c>
      <c r="L18" s="38">
        <f>L13+L17</f>
        <v/>
      </c>
      <c r="M18" s="38">
        <f>M13+M17</f>
        <v/>
      </c>
      <c r="N18" s="38">
        <f>N13+N17</f>
        <v/>
      </c>
      <c r="O18" s="38">
        <f>O13+O17</f>
        <v/>
      </c>
      <c r="P18" s="38">
        <f>P13+P17</f>
        <v/>
      </c>
      <c r="Q18" s="38">
        <f>Q13+Q17</f>
        <v/>
      </c>
      <c r="R18" s="38">
        <f>R13+R17</f>
        <v/>
      </c>
      <c r="S18" s="38">
        <f>S13+S17</f>
        <v/>
      </c>
      <c r="T18" s="38">
        <f>T13+T17</f>
        <v/>
      </c>
      <c r="U18" s="38">
        <f>U13+U17</f>
        <v/>
      </c>
      <c r="V18" s="38">
        <f>V13+V17</f>
        <v/>
      </c>
      <c r="W18" s="38">
        <f>W13+W17</f>
        <v/>
      </c>
      <c r="X18" s="38">
        <f>X13+X17</f>
        <v/>
      </c>
      <c r="Y18" s="38">
        <f>Y13+Y17</f>
        <v/>
      </c>
    </row>
    <row r="19" ht="18" customHeight="1" s="10">
      <c r="A19" s="87" t="inlineStr">
        <is>
          <t>Balance Check</t>
        </is>
      </c>
      <c r="B19" s="61">
        <f>B9-B18</f>
        <v/>
      </c>
      <c r="C19" s="61">
        <f>C9-C18</f>
        <v/>
      </c>
      <c r="D19" s="61">
        <f>D9-D18</f>
        <v/>
      </c>
      <c r="E19" s="61">
        <f>E9-E18</f>
        <v/>
      </c>
      <c r="F19" s="61">
        <f>F9-F18</f>
        <v/>
      </c>
      <c r="G19" s="61">
        <f>G9-G18</f>
        <v/>
      </c>
      <c r="H19" s="61">
        <f>H9-H18</f>
        <v/>
      </c>
      <c r="I19" s="61">
        <f>I9-I18</f>
        <v/>
      </c>
      <c r="J19" s="61">
        <f>J9-J18</f>
        <v/>
      </c>
      <c r="K19" s="61">
        <f>K9-K18</f>
        <v/>
      </c>
      <c r="L19" s="61">
        <f>L9-L18</f>
        <v/>
      </c>
      <c r="M19" s="61">
        <f>M9-M18</f>
        <v/>
      </c>
      <c r="N19" s="61">
        <f>N9-N18</f>
        <v/>
      </c>
      <c r="O19" s="61">
        <f>O9-O18</f>
        <v/>
      </c>
      <c r="P19" s="61">
        <f>P9-P18</f>
        <v/>
      </c>
      <c r="Q19" s="61">
        <f>Q9-Q18</f>
        <v/>
      </c>
      <c r="R19" s="61">
        <f>R9-R18</f>
        <v/>
      </c>
      <c r="S19" s="61">
        <f>S9-S18</f>
        <v/>
      </c>
      <c r="T19" s="61">
        <f>T9-T18</f>
        <v/>
      </c>
      <c r="U19" s="61">
        <f>U9-U18</f>
        <v/>
      </c>
      <c r="V19" s="61">
        <f>V9-V18</f>
        <v/>
      </c>
      <c r="W19" s="61">
        <f>W9-W18</f>
        <v/>
      </c>
      <c r="X19" s="61">
        <f>X9-X18</f>
        <v/>
      </c>
      <c r="Y19" s="61">
        <f>Y9-Y18</f>
        <v/>
      </c>
    </row>
    <row r="20" ht="18" customHeight="1" s="10"/>
    <row r="21" ht="18" customHeight="1" s="10"/>
    <row r="22" ht="18" customHeight="1" s="10"/>
    <row r="23" ht="18" customHeight="1" s="10"/>
    <row r="24" ht="18" customHeight="1" s="10"/>
    <row r="25" ht="18" customHeight="1" s="10"/>
    <row r="26" ht="18" customHeight="1" s="10"/>
    <row r="27" ht="18" customHeight="1" s="10"/>
    <row r="28" ht="18" customHeight="1" s="10"/>
    <row r="29" ht="18" customHeight="1" s="10"/>
    <row r="30" ht="18" customHeight="1" s="10"/>
    <row r="31" ht="18" customHeight="1" s="10"/>
    <row r="32" ht="18" customHeight="1" s="10"/>
    <row r="33" ht="18" customHeight="1" s="10"/>
    <row r="34" ht="18" customHeight="1" s="10"/>
    <row r="35" ht="18" customHeight="1" s="10"/>
    <row r="36" ht="18" customHeight="1" s="10"/>
    <row r="37" ht="18" customHeight="1" s="10"/>
    <row r="38" ht="18" customHeight="1" s="10"/>
    <row r="39" ht="18" customHeight="1" s="10"/>
    <row r="40" ht="18" customHeight="1" s="10"/>
    <row r="41" ht="18" customHeight="1" s="10"/>
    <row r="42" ht="18" customHeight="1" s="10"/>
    <row r="43" ht="18" customHeight="1" s="10"/>
    <row r="44" ht="18" customHeight="1" s="10"/>
    <row r="45" ht="18" customHeight="1" s="10"/>
    <row r="46" ht="18" customHeight="1" s="10"/>
    <row r="47" ht="18" customHeight="1" s="10"/>
    <row r="48" ht="18" customHeight="1" s="10"/>
    <row r="49" ht="18" customHeight="1" s="10"/>
    <row r="50" ht="18" customHeight="1" s="10"/>
    <row r="51" ht="18" customHeight="1" s="10"/>
    <row r="52" ht="18" customHeight="1" s="10"/>
    <row r="53" ht="18" customHeight="1" s="10"/>
    <row r="54" ht="18" customHeight="1" s="10"/>
    <row r="55" ht="18" customHeight="1" s="10"/>
    <row r="56" ht="18" customHeight="1" s="10"/>
    <row r="57" ht="18" customHeight="1" s="10"/>
    <row r="58" ht="18" customHeight="1" s="10"/>
    <row r="59" ht="18" customHeight="1" s="10"/>
    <row r="60" ht="18" customHeight="1" s="10"/>
    <row r="61" ht="18" customHeight="1" s="10"/>
    <row r="62" ht="18" customHeight="1" s="10"/>
    <row r="63" ht="18" customHeight="1" s="10"/>
    <row r="64" ht="18" customHeight="1" s="10"/>
    <row r="65" ht="18" customHeight="1" s="10"/>
    <row r="66" ht="18" customHeight="1" s="10"/>
    <row r="67" ht="18" customHeight="1" s="10"/>
    <row r="68" ht="18" customHeight="1" s="10"/>
    <row r="69" ht="18" customHeight="1" s="10"/>
    <row r="70" ht="18" customHeight="1" s="10"/>
    <row r="71" ht="18" customHeight="1" s="10"/>
    <row r="72" ht="18" customHeight="1" s="10"/>
    <row r="73" ht="18" customHeight="1" s="10"/>
    <row r="74" ht="18" customHeight="1" s="10"/>
    <row r="75" ht="18" customHeight="1" s="10"/>
    <row r="76" ht="18" customHeight="1" s="10"/>
    <row r="77" ht="18" customHeight="1" s="10"/>
    <row r="78" ht="18" customHeight="1" s="10"/>
    <row r="79" ht="18" customHeight="1" s="10"/>
  </sheetData>
  <mergeCells count="1">
    <mergeCell ref="A3:Y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V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style="10" min="1" max="1"/>
    <col width="6" customWidth="1" style="10" min="2" max="2"/>
    <col width="9" customWidth="1" style="10" min="3" max="3"/>
    <col width="9" customWidth="1" style="10" min="4" max="4"/>
    <col width="9" customWidth="1" style="10" min="5" max="5"/>
    <col width="9" customWidth="1" style="10" min="6" max="6"/>
    <col width="9" customWidth="1" style="10" min="7" max="7"/>
    <col width="9" customWidth="1" style="10" min="8" max="8"/>
    <col width="9" customWidth="1" style="10" min="9" max="9"/>
    <col width="9" customWidth="1" style="10" min="10" max="10"/>
    <col width="9" customWidth="1" style="10" min="11" max="11"/>
    <col width="9" customWidth="1" style="10" min="12" max="12"/>
    <col width="9" customWidth="1" style="10" min="13" max="13"/>
    <col width="9" customWidth="1" style="10" min="14" max="14"/>
    <col width="9" customWidth="1" style="10" min="15" max="15"/>
    <col width="9" customWidth="1" style="10" min="16" max="16"/>
    <col width="9" customWidth="1" style="10" min="17" max="17"/>
    <col width="9" customWidth="1" style="10" min="18" max="18"/>
    <col width="9" customWidth="1" style="10" min="19" max="19"/>
    <col width="9" customWidth="1" style="10" min="20" max="20"/>
    <col width="9" customWidth="1" style="10" min="21" max="21"/>
    <col width="9" customWidth="1" style="10" min="22" max="22"/>
    <col width="9" customWidth="1" style="10" min="23" max="23"/>
    <col width="9" customWidth="1" style="10" min="24" max="24"/>
    <col width="9" customWidth="1" style="10" min="25" max="25"/>
    <col width="9" customWidth="1" style="10" min="26" max="26"/>
    <col width="9" customWidth="1" style="10" min="27" max="27"/>
    <col width="9" customWidth="1" style="10" min="28" max="28"/>
    <col width="9" customWidth="1" style="10" min="29" max="29"/>
    <col width="9" customWidth="1" style="10" min="30" max="30"/>
    <col width="9" customWidth="1" style="10" min="31" max="31"/>
    <col width="9" customWidth="1" style="10" min="32" max="32"/>
    <col width="9" customWidth="1" style="10" min="33" max="33"/>
    <col width="9" customWidth="1" style="10" min="34" max="34"/>
    <col width="9" customWidth="1" style="10" min="35" max="35"/>
    <col width="9" customWidth="1" style="10" min="36" max="36"/>
    <col width="9" customWidth="1" style="10" min="37" max="37"/>
    <col width="9" customWidth="1" style="10" min="38" max="38"/>
    <col width="9" customWidth="1" style="10" min="39" max="39"/>
    <col width="9" customWidth="1" style="10" min="40" max="40"/>
    <col width="9" customWidth="1" style="10" min="41" max="41"/>
    <col width="9" customWidth="1" style="10" min="42" max="42"/>
    <col width="9" customWidth="1" style="10" min="43" max="43"/>
    <col width="9" customWidth="1" style="10" min="44" max="44"/>
    <col width="9" customWidth="1" style="10" min="45" max="45"/>
    <col width="9" customWidth="1" style="10" min="46" max="46"/>
    <col width="9" customWidth="1" style="10" min="47" max="47"/>
    <col width="9" customWidth="1" style="10" min="48" max="48"/>
    <col width="9" customWidth="1" style="10" min="49" max="49"/>
    <col width="9" customWidth="1" style="10" min="50" max="50"/>
    <col width="9" customWidth="1" style="10" min="51" max="51"/>
    <col width="9" customWidth="1" style="10" min="52" max="52"/>
    <col width="9" customWidth="1" style="10" min="53" max="53"/>
    <col width="9" customWidth="1" style="10" min="54" max="54"/>
    <col width="9" customWidth="1" style="10" min="55" max="55"/>
    <col width="9" customWidth="1" style="10" min="56" max="56"/>
    <col width="9" customWidth="1" style="10" min="57" max="57"/>
    <col width="9" customWidth="1" style="10" min="58" max="58"/>
    <col width="9" customWidth="1" style="10" min="59" max="59"/>
    <col width="9" customWidth="1" style="10" min="60" max="60"/>
    <col width="9" customWidth="1" style="10" min="61" max="61"/>
    <col width="9" customWidth="1" style="10" min="62" max="62"/>
    <col width="9" customWidth="1" style="10" min="63" max="63"/>
    <col width="9" customWidth="1" style="10" min="64" max="64"/>
    <col width="9" customWidth="1" style="10" min="65" max="65"/>
    <col width="9" customWidth="1" style="10" min="66" max="66"/>
    <col width="9" customWidth="1" style="10" min="67" max="67"/>
    <col width="9" customWidth="1" style="10" min="68" max="68"/>
    <col width="9" customWidth="1" style="10" min="69" max="69"/>
    <col width="9" customWidth="1" style="10" min="70" max="70"/>
    <col width="9" customWidth="1" style="10" min="71" max="71"/>
    <col width="9" customWidth="1" style="10" min="72" max="72"/>
    <col width="9" customWidth="1" style="10" min="73" max="73"/>
    <col width="9" customWidth="1" style="10" min="74" max="74"/>
    <col width="9" customWidth="1" style="10" min="75" max="75"/>
  </cols>
  <sheetData>
    <row r="1" ht="22" customHeight="1" s="10">
      <c r="A1" s="204" t="inlineStr">
        <is>
          <t>HubSpot (HUBS) — Rolling Forecast | FY2024–FY2025 | Lock Date: Jun-24 | Amounts in $M USD</t>
        </is>
      </c>
    </row>
    <row r="2" ht="26" customHeight="1" s="10">
      <c r="A2" s="205" t="inlineStr">
        <is>
          <t>Rolling Forecast: each month, Actuals replace prior forecasts and the horizon extends 18 months forward. Blue = Actuals (locked) | Green = Original Forecast (IS Base) | Amber = Revised Forecast (mid-year reforecast) | ± = Variance</t>
        </is>
      </c>
    </row>
    <row r="3" ht="15" customHeight="1" s="10">
      <c r="A3" s="206" t="inlineStr">
        <is>
          <t>Metric</t>
        </is>
      </c>
      <c r="B3" s="150" t="inlineStr">
        <is>
          <t>Unit</t>
        </is>
      </c>
      <c r="C3" s="207" t="inlineStr">
        <is>
          <t>Jan-24</t>
        </is>
      </c>
      <c r="E3" s="208" t="n"/>
      <c r="F3" s="207" t="inlineStr">
        <is>
          <t>Feb-24</t>
        </is>
      </c>
      <c r="H3" s="208" t="n"/>
      <c r="I3" s="207" t="inlineStr">
        <is>
          <t>Mar-24</t>
        </is>
      </c>
      <c r="K3" s="208" t="n"/>
      <c r="L3" s="207" t="inlineStr">
        <is>
          <t>Apr-24</t>
        </is>
      </c>
      <c r="N3" s="208" t="n"/>
      <c r="O3" s="207" t="inlineStr">
        <is>
          <t>May-24</t>
        </is>
      </c>
      <c r="Q3" s="208" t="n"/>
      <c r="R3" s="207" t="inlineStr">
        <is>
          <t>Jun-24</t>
        </is>
      </c>
      <c r="T3" s="208" t="n"/>
      <c r="U3" s="209" t="inlineStr">
        <is>
          <t>Jul-24</t>
        </is>
      </c>
      <c r="W3" s="208" t="n"/>
      <c r="X3" s="209" t="inlineStr">
        <is>
          <t>Aug-24</t>
        </is>
      </c>
      <c r="Z3" s="208" t="n"/>
      <c r="AA3" s="209" t="inlineStr">
        <is>
          <t>Sep-24</t>
        </is>
      </c>
      <c r="AC3" s="208" t="n"/>
      <c r="AD3" s="209" t="inlineStr">
        <is>
          <t>Oct-24</t>
        </is>
      </c>
      <c r="AF3" s="208" t="n"/>
      <c r="AG3" s="209" t="inlineStr">
        <is>
          <t>Nov-24</t>
        </is>
      </c>
      <c r="AI3" s="208" t="n"/>
      <c r="AJ3" s="209" t="inlineStr">
        <is>
          <t>Dec-24</t>
        </is>
      </c>
      <c r="AL3" s="208" t="n"/>
      <c r="AM3" s="209" t="inlineStr">
        <is>
          <t>Jan-25</t>
        </is>
      </c>
      <c r="AO3" s="208" t="n"/>
      <c r="AP3" s="209" t="inlineStr">
        <is>
          <t>Feb-25</t>
        </is>
      </c>
      <c r="AR3" s="208" t="n"/>
      <c r="AS3" s="209" t="inlineStr">
        <is>
          <t>Mar-25</t>
        </is>
      </c>
      <c r="AU3" s="208" t="n"/>
      <c r="AV3" s="209" t="inlineStr">
        <is>
          <t>Apr-25</t>
        </is>
      </c>
      <c r="AX3" s="208" t="n"/>
      <c r="AY3" s="209" t="inlineStr">
        <is>
          <t>May-25</t>
        </is>
      </c>
      <c r="BA3" s="208" t="n"/>
      <c r="BB3" s="209" t="inlineStr">
        <is>
          <t>Jun-25</t>
        </is>
      </c>
      <c r="BD3" s="208" t="n"/>
      <c r="BE3" s="209" t="inlineStr">
        <is>
          <t>Jul-25</t>
        </is>
      </c>
      <c r="BG3" s="208" t="n"/>
      <c r="BH3" s="209" t="inlineStr">
        <is>
          <t>Aug-25</t>
        </is>
      </c>
      <c r="BJ3" s="208" t="n"/>
      <c r="BK3" s="209" t="inlineStr">
        <is>
          <t>Sep-25</t>
        </is>
      </c>
      <c r="BM3" s="208" t="n"/>
      <c r="BN3" s="209" t="inlineStr">
        <is>
          <t>Oct-25</t>
        </is>
      </c>
      <c r="BP3" s="208" t="n"/>
      <c r="BQ3" s="209" t="inlineStr">
        <is>
          <t>Nov-25</t>
        </is>
      </c>
      <c r="BS3" s="208" t="n"/>
      <c r="BT3" s="209" t="inlineStr">
        <is>
          <t>Dec-25</t>
        </is>
      </c>
      <c r="BV3" s="208" t="n"/>
    </row>
    <row r="4" ht="13" customHeight="1" s="10">
      <c r="A4" s="210" t="inlineStr"/>
      <c r="B4" s="211" t="inlineStr"/>
      <c r="C4" s="212" t="inlineStr">
        <is>
          <t>Actual</t>
        </is>
      </c>
      <c r="D4" s="213" t="inlineStr">
        <is>
          <t>—</t>
        </is>
      </c>
      <c r="E4" s="214" t="inlineStr">
        <is>
          <t>—</t>
        </is>
      </c>
      <c r="F4" s="212" t="inlineStr">
        <is>
          <t>Actual</t>
        </is>
      </c>
      <c r="G4" s="213" t="inlineStr">
        <is>
          <t>—</t>
        </is>
      </c>
      <c r="H4" s="214" t="inlineStr">
        <is>
          <t>—</t>
        </is>
      </c>
      <c r="I4" s="212" t="inlineStr">
        <is>
          <t>Actual</t>
        </is>
      </c>
      <c r="J4" s="213" t="inlineStr">
        <is>
          <t>—</t>
        </is>
      </c>
      <c r="K4" s="214" t="inlineStr">
        <is>
          <t>—</t>
        </is>
      </c>
      <c r="L4" s="212" t="inlineStr">
        <is>
          <t>Actual</t>
        </is>
      </c>
      <c r="M4" s="213" t="inlineStr">
        <is>
          <t>—</t>
        </is>
      </c>
      <c r="N4" s="214" t="inlineStr">
        <is>
          <t>—</t>
        </is>
      </c>
      <c r="O4" s="212" t="inlineStr">
        <is>
          <t>Actual</t>
        </is>
      </c>
      <c r="P4" s="213" t="inlineStr">
        <is>
          <t>—</t>
        </is>
      </c>
      <c r="Q4" s="214" t="inlineStr">
        <is>
          <t>—</t>
        </is>
      </c>
      <c r="R4" s="212" t="inlineStr">
        <is>
          <t>Actual</t>
        </is>
      </c>
      <c r="S4" s="213" t="inlineStr">
        <is>
          <t>—</t>
        </is>
      </c>
      <c r="T4" s="214" t="inlineStr">
        <is>
          <t>—</t>
        </is>
      </c>
      <c r="U4" s="215" t="inlineStr">
        <is>
          <t>Orig FC</t>
        </is>
      </c>
      <c r="V4" s="216" t="inlineStr">
        <is>
          <t>Rev FC</t>
        </is>
      </c>
      <c r="W4" s="217" t="inlineStr">
        <is>
          <t>Δ</t>
        </is>
      </c>
      <c r="X4" s="215" t="inlineStr">
        <is>
          <t>Orig FC</t>
        </is>
      </c>
      <c r="Y4" s="216" t="inlineStr">
        <is>
          <t>Rev FC</t>
        </is>
      </c>
      <c r="Z4" s="217" t="inlineStr">
        <is>
          <t>Δ</t>
        </is>
      </c>
      <c r="AA4" s="215" t="inlineStr">
        <is>
          <t>Orig FC</t>
        </is>
      </c>
      <c r="AB4" s="216" t="inlineStr">
        <is>
          <t>Rev FC</t>
        </is>
      </c>
      <c r="AC4" s="217" t="inlineStr">
        <is>
          <t>Δ</t>
        </is>
      </c>
      <c r="AD4" s="215" t="inlineStr">
        <is>
          <t>Orig FC</t>
        </is>
      </c>
      <c r="AE4" s="216" t="inlineStr">
        <is>
          <t>Rev FC</t>
        </is>
      </c>
      <c r="AF4" s="217" t="inlineStr">
        <is>
          <t>Δ</t>
        </is>
      </c>
      <c r="AG4" s="215" t="inlineStr">
        <is>
          <t>Orig FC</t>
        </is>
      </c>
      <c r="AH4" s="216" t="inlineStr">
        <is>
          <t>Rev FC</t>
        </is>
      </c>
      <c r="AI4" s="217" t="inlineStr">
        <is>
          <t>Δ</t>
        </is>
      </c>
      <c r="AJ4" s="215" t="inlineStr">
        <is>
          <t>Orig FC</t>
        </is>
      </c>
      <c r="AK4" s="216" t="inlineStr">
        <is>
          <t>Rev FC</t>
        </is>
      </c>
      <c r="AL4" s="217" t="inlineStr">
        <is>
          <t>Δ</t>
        </is>
      </c>
      <c r="AM4" s="215" t="inlineStr">
        <is>
          <t>Orig FC</t>
        </is>
      </c>
      <c r="AN4" s="216" t="inlineStr">
        <is>
          <t>Rev FC</t>
        </is>
      </c>
      <c r="AO4" s="217" t="inlineStr">
        <is>
          <t>Δ</t>
        </is>
      </c>
      <c r="AP4" s="215" t="inlineStr">
        <is>
          <t>Orig FC</t>
        </is>
      </c>
      <c r="AQ4" s="216" t="inlineStr">
        <is>
          <t>Rev FC</t>
        </is>
      </c>
      <c r="AR4" s="217" t="inlineStr">
        <is>
          <t>Δ</t>
        </is>
      </c>
      <c r="AS4" s="215" t="inlineStr">
        <is>
          <t>Orig FC</t>
        </is>
      </c>
      <c r="AT4" s="216" t="inlineStr">
        <is>
          <t>Rev FC</t>
        </is>
      </c>
      <c r="AU4" s="217" t="inlineStr">
        <is>
          <t>Δ</t>
        </is>
      </c>
      <c r="AV4" s="215" t="inlineStr">
        <is>
          <t>Orig FC</t>
        </is>
      </c>
      <c r="AW4" s="216" t="inlineStr">
        <is>
          <t>Rev FC</t>
        </is>
      </c>
      <c r="AX4" s="217" t="inlineStr">
        <is>
          <t>Δ</t>
        </is>
      </c>
      <c r="AY4" s="215" t="inlineStr">
        <is>
          <t>Orig FC</t>
        </is>
      </c>
      <c r="AZ4" s="216" t="inlineStr">
        <is>
          <t>Rev FC</t>
        </is>
      </c>
      <c r="BA4" s="217" t="inlineStr">
        <is>
          <t>Δ</t>
        </is>
      </c>
      <c r="BB4" s="215" t="inlineStr">
        <is>
          <t>Orig FC</t>
        </is>
      </c>
      <c r="BC4" s="216" t="inlineStr">
        <is>
          <t>Rev FC</t>
        </is>
      </c>
      <c r="BD4" s="217" t="inlineStr">
        <is>
          <t>Δ</t>
        </is>
      </c>
      <c r="BE4" s="215" t="inlineStr">
        <is>
          <t>Orig FC</t>
        </is>
      </c>
      <c r="BF4" s="216" t="inlineStr">
        <is>
          <t>Rev FC</t>
        </is>
      </c>
      <c r="BG4" s="217" t="inlineStr">
        <is>
          <t>Δ</t>
        </is>
      </c>
      <c r="BH4" s="215" t="inlineStr">
        <is>
          <t>Orig FC</t>
        </is>
      </c>
      <c r="BI4" s="216" t="inlineStr">
        <is>
          <t>Rev FC</t>
        </is>
      </c>
      <c r="BJ4" s="217" t="inlineStr">
        <is>
          <t>Δ</t>
        </is>
      </c>
      <c r="BK4" s="215" t="inlineStr">
        <is>
          <t>Orig FC</t>
        </is>
      </c>
      <c r="BL4" s="216" t="inlineStr">
        <is>
          <t>Rev FC</t>
        </is>
      </c>
      <c r="BM4" s="217" t="inlineStr">
        <is>
          <t>Δ</t>
        </is>
      </c>
      <c r="BN4" s="215" t="inlineStr">
        <is>
          <t>Orig FC</t>
        </is>
      </c>
      <c r="BO4" s="216" t="inlineStr">
        <is>
          <t>Rev FC</t>
        </is>
      </c>
      <c r="BP4" s="217" t="inlineStr">
        <is>
          <t>Δ</t>
        </is>
      </c>
      <c r="BQ4" s="215" t="inlineStr">
        <is>
          <t>Orig FC</t>
        </is>
      </c>
      <c r="BR4" s="216" t="inlineStr">
        <is>
          <t>Rev FC</t>
        </is>
      </c>
      <c r="BS4" s="217" t="inlineStr">
        <is>
          <t>Δ</t>
        </is>
      </c>
      <c r="BT4" s="215" t="inlineStr">
        <is>
          <t>Orig FC</t>
        </is>
      </c>
      <c r="BU4" s="216" t="inlineStr">
        <is>
          <t>Rev FC</t>
        </is>
      </c>
      <c r="BV4" s="217" t="inlineStr">
        <is>
          <t>Δ</t>
        </is>
      </c>
    </row>
    <row r="5" ht="14" customHeight="1" s="10">
      <c r="A5" s="218" t="inlineStr">
        <is>
          <t>REVENUE &amp; GROSS PROFIT</t>
        </is>
      </c>
    </row>
    <row r="6" ht="14" customHeight="1" s="10">
      <c r="A6" s="219" t="inlineStr">
        <is>
          <t>Total Revenue</t>
        </is>
      </c>
      <c r="B6" s="220" t="inlineStr">
        <is>
          <t>$M</t>
        </is>
      </c>
      <c r="C6" s="221" t="n">
        <v>0</v>
      </c>
      <c r="D6" s="222" t="n"/>
      <c r="E6" s="223" t="n"/>
      <c r="F6" s="221" t="n">
        <v>0</v>
      </c>
      <c r="G6" s="222" t="n"/>
      <c r="H6" s="223" t="n"/>
      <c r="I6" s="221" t="n">
        <v>0</v>
      </c>
      <c r="J6" s="222" t="n"/>
      <c r="K6" s="223" t="n"/>
      <c r="L6" s="221" t="n">
        <v>0</v>
      </c>
      <c r="M6" s="222" t="n"/>
      <c r="N6" s="223" t="n"/>
      <c r="O6" s="221" t="n">
        <v>0</v>
      </c>
      <c r="P6" s="222" t="n"/>
      <c r="Q6" s="223" t="n"/>
      <c r="R6" s="221" t="n">
        <v>0</v>
      </c>
      <c r="S6" s="222" t="n"/>
      <c r="T6" s="223" t="n"/>
      <c r="U6" s="224" t="n">
        <v>211.8909045411531</v>
      </c>
      <c r="V6" s="225" t="n">
        <v>216.1287226319761</v>
      </c>
      <c r="W6" s="226" t="n">
        <v>4.237818090823055</v>
      </c>
      <c r="X6" s="224" t="n">
        <v>212.8535144520702</v>
      </c>
      <c r="Y6" s="225" t="n">
        <v>217.1105847411116</v>
      </c>
      <c r="Z6" s="226" t="n">
        <v>4.257070289041394</v>
      </c>
      <c r="AA6" s="224" t="n">
        <v>213.809333489209</v>
      </c>
      <c r="AB6" s="225" t="n">
        <v>218.0855201589932</v>
      </c>
      <c r="AC6" s="226" t="n">
        <v>4.276186669784181</v>
      </c>
      <c r="AD6" s="224" t="n">
        <v>214.7584624806424</v>
      </c>
      <c r="AE6" s="225" t="n">
        <v>219.0536317302552</v>
      </c>
      <c r="AF6" s="226" t="n">
        <v>4.295169249612826</v>
      </c>
      <c r="AG6" s="224" t="n">
        <v>215.7010009244034</v>
      </c>
      <c r="AH6" s="225" t="n">
        <v>220.0150209428915</v>
      </c>
      <c r="AI6" s="226" t="n">
        <v>4.314020018488094</v>
      </c>
      <c r="AJ6" s="224" t="n">
        <v>216.6370470062811</v>
      </c>
      <c r="AK6" s="225" t="n">
        <v>220.9697879464067</v>
      </c>
      <c r="AL6" s="226" t="n">
        <v>4.332740940125603</v>
      </c>
      <c r="AM6" s="224" t="n">
        <v>217.5666976173777</v>
      </c>
      <c r="AN6" s="225" t="n">
        <v>219.7423645935515</v>
      </c>
      <c r="AO6" s="226" t="n">
        <v>2.175666976173801</v>
      </c>
      <c r="AP6" s="224" t="n">
        <v>218.4900483714316</v>
      </c>
      <c r="AQ6" s="225" t="n">
        <v>220.6749488551459</v>
      </c>
      <c r="AR6" s="226" t="n">
        <v>2.18490048371433</v>
      </c>
      <c r="AS6" s="224" t="n">
        <v>219.4071936219094</v>
      </c>
      <c r="AT6" s="225" t="n">
        <v>221.6012655581285</v>
      </c>
      <c r="AU6" s="226" t="n">
        <v>2.194071936219103</v>
      </c>
      <c r="AV6" s="224" t="n">
        <v>220.3182264788689</v>
      </c>
      <c r="AW6" s="225" t="n">
        <v>222.5214087436576</v>
      </c>
      <c r="AX6" s="226" t="n">
        <v>2.203182264788694</v>
      </c>
      <c r="AY6" s="224" t="n">
        <v>221.2232388255977</v>
      </c>
      <c r="AZ6" s="225" t="n">
        <v>223.4354712138536</v>
      </c>
      <c r="BA6" s="226" t="n">
        <v>2.212232388255984</v>
      </c>
      <c r="BB6" s="224" t="n">
        <v>222.1223213350288</v>
      </c>
      <c r="BC6" s="225" t="n">
        <v>224.3435445483791</v>
      </c>
      <c r="BD6" s="226" t="n">
        <v>2.221223213350299</v>
      </c>
      <c r="BE6" s="224" t="n">
        <v>223.0155634859377</v>
      </c>
      <c r="BF6" s="225" t="n">
        <v>225.2457191207971</v>
      </c>
      <c r="BG6" s="226" t="n">
        <v>2.230155634859386</v>
      </c>
      <c r="BH6" s="224" t="n">
        <v>223.9030535789225</v>
      </c>
      <c r="BI6" s="225" t="n">
        <v>226.1420841147118</v>
      </c>
      <c r="BJ6" s="226" t="n">
        <v>2.239030535789226</v>
      </c>
      <c r="BK6" s="224" t="n">
        <v>224.7848787521711</v>
      </c>
      <c r="BL6" s="225" t="n">
        <v>227.0327275396928</v>
      </c>
      <c r="BM6" s="226" t="n">
        <v>2.247848787521718</v>
      </c>
      <c r="BN6" s="224" t="n">
        <v>225.6611249970177</v>
      </c>
      <c r="BO6" s="225" t="n">
        <v>227.9177362469878</v>
      </c>
      <c r="BP6" s="226" t="n">
        <v>2.256611249970177</v>
      </c>
      <c r="BQ6" s="224" t="n">
        <v>226.5318771732909</v>
      </c>
      <c r="BR6" s="225" t="n">
        <v>228.7971959450238</v>
      </c>
      <c r="BS6" s="226" t="n">
        <v>2.265318771732922</v>
      </c>
      <c r="BT6" s="224" t="n">
        <v>227.3972190244584</v>
      </c>
      <c r="BU6" s="225" t="n">
        <v>229.671191214703</v>
      </c>
      <c r="BV6" s="226" t="n">
        <v>2.273972190244592</v>
      </c>
    </row>
    <row r="7" ht="14" customHeight="1" s="10">
      <c r="A7" s="160" t="inlineStr">
        <is>
          <t xml:space="preserve">  YoY MoM Growth</t>
        </is>
      </c>
      <c r="B7" s="227" t="inlineStr">
        <is>
          <t>%</t>
        </is>
      </c>
      <c r="C7" s="228" t="n">
        <v>0</v>
      </c>
      <c r="D7" s="229" t="n"/>
      <c r="E7" s="230" t="n"/>
      <c r="F7" s="228" t="n">
        <v>0.004882093814112407</v>
      </c>
      <c r="G7" s="229" t="n"/>
      <c r="H7" s="230" t="n"/>
      <c r="I7" s="228" t="n">
        <v>0.004822501383256322</v>
      </c>
      <c r="J7" s="229" t="n"/>
      <c r="K7" s="230" t="n"/>
      <c r="L7" s="228" t="n">
        <v>0.004764180313699477</v>
      </c>
      <c r="M7" s="229" t="n"/>
      <c r="N7" s="230" t="n"/>
      <c r="O7" s="228" t="n">
        <v>0.004707096809800661</v>
      </c>
      <c r="P7" s="229" t="n"/>
      <c r="Q7" s="230" t="n"/>
      <c r="R7" s="228" t="n">
        <v>0.004651218218903392</v>
      </c>
      <c r="S7" s="229" t="n"/>
      <c r="T7" s="230" t="n"/>
      <c r="U7" s="231" t="n">
        <v>0.004596512983412731</v>
      </c>
      <c r="V7" s="232" t="n">
        <v>0.02468844324308095</v>
      </c>
      <c r="W7" s="233" t="n"/>
      <c r="X7" s="231" t="n">
        <v>0.004542950595267845</v>
      </c>
      <c r="Y7" s="232" t="n">
        <v>0.004542950595267864</v>
      </c>
      <c r="Z7" s="233" t="n"/>
      <c r="AA7" s="231" t="n">
        <v>0.004490501552672641</v>
      </c>
      <c r="AB7" s="232" t="n">
        <v>0.004490501552672693</v>
      </c>
      <c r="AC7" s="233" t="n"/>
      <c r="AD7" s="231" t="n">
        <v>0.004439137318957383</v>
      </c>
      <c r="AE7" s="232" t="n">
        <v>0.004439137318957303</v>
      </c>
      <c r="AF7" s="233" t="n"/>
      <c r="AG7" s="231" t="n">
        <v>0.004388830283444493</v>
      </c>
      <c r="AH7" s="232" t="n">
        <v>0.004388830283444588</v>
      </c>
      <c r="AI7" s="233" t="n"/>
      <c r="AJ7" s="231" t="n">
        <v>0.004339553724211942</v>
      </c>
      <c r="AK7" s="232" t="n">
        <v>0.004339553724211852</v>
      </c>
      <c r="AL7" s="233" t="n"/>
      <c r="AM7" s="231" t="n">
        <v>0.004291281772639779</v>
      </c>
      <c r="AN7" s="232" t="n">
        <v>-0.005554711185915427</v>
      </c>
      <c r="AO7" s="233" t="n"/>
      <c r="AP7" s="231" t="n">
        <v>0.004243989379651134</v>
      </c>
      <c r="AQ7" s="232" t="n">
        <v>0.004243989379651065</v>
      </c>
      <c r="AR7" s="233" t="n"/>
      <c r="AS7" s="231" t="n">
        <v>0.004197652283543003</v>
      </c>
      <c r="AT7" s="232" t="n">
        <v>0.004197652283543032</v>
      </c>
      <c r="AU7" s="233" t="n"/>
      <c r="AV7" s="231" t="n">
        <v>0.004152246979328525</v>
      </c>
      <c r="AW7" s="232" t="n">
        <v>0.004152246979328506</v>
      </c>
      <c r="AX7" s="233" t="n"/>
      <c r="AY7" s="231" t="n">
        <v>0.004107750689503681</v>
      </c>
      <c r="AZ7" s="232" t="n">
        <v>0.004107750689503718</v>
      </c>
      <c r="BA7" s="233" t="n"/>
      <c r="BB7" s="231" t="n">
        <v>0.004064141336163825</v>
      </c>
      <c r="BC7" s="232" t="n">
        <v>0.004064141336163829</v>
      </c>
      <c r="BD7" s="233" t="n"/>
      <c r="BE7" s="231" t="n">
        <v>0.004021397514397632</v>
      </c>
      <c r="BF7" s="232" t="n">
        <v>0.004021397514397623</v>
      </c>
      <c r="BG7" s="233" t="n"/>
      <c r="BH7" s="231" t="n">
        <v>0.003979498466889537</v>
      </c>
      <c r="BI7" s="232" t="n">
        <v>0.003979498466889495</v>
      </c>
      <c r="BJ7" s="233" t="n"/>
      <c r="BK7" s="231" t="n">
        <v>0.003938424059669015</v>
      </c>
      <c r="BL7" s="232" t="n">
        <v>0.00393842405966907</v>
      </c>
      <c r="BM7" s="233" t="n"/>
      <c r="BN7" s="231" t="n">
        <v>0.003898154758944431</v>
      </c>
      <c r="BO7" s="232" t="n">
        <v>0.003898154758944355</v>
      </c>
      <c r="BP7" s="233" t="n"/>
      <c r="BQ7" s="231" t="n">
        <v>0.00385867160896572</v>
      </c>
      <c r="BR7" s="232" t="n">
        <v>0.003858671608965703</v>
      </c>
      <c r="BS7" s="233" t="n"/>
      <c r="BT7" s="231" t="n">
        <v>0.003819956210866988</v>
      </c>
      <c r="BU7" s="232" t="n">
        <v>0.003819956210867049</v>
      </c>
      <c r="BV7" s="233" t="n"/>
    </row>
    <row r="8" ht="14" customHeight="1" s="10">
      <c r="A8" s="219" t="inlineStr">
        <is>
          <t>COGS</t>
        </is>
      </c>
      <c r="B8" s="220" t="inlineStr">
        <is>
          <t>$M</t>
        </is>
      </c>
      <c r="C8" s="221" t="n">
        <v>28.6293877259775</v>
      </c>
      <c r="D8" s="222" t="n"/>
      <c r="E8" s="223" t="n"/>
      <c r="F8" s="221" t="n">
        <v>28.76915908269633</v>
      </c>
      <c r="G8" s="222" t="n"/>
      <c r="H8" s="223" t="n"/>
      <c r="I8" s="221" t="n">
        <v>28.90789839216775</v>
      </c>
      <c r="J8" s="222" t="n"/>
      <c r="K8" s="223" t="n"/>
      <c r="L8" s="221" t="n">
        <v>29.04562083259814</v>
      </c>
      <c r="M8" s="222" t="n"/>
      <c r="N8" s="223" t="n"/>
      <c r="O8" s="221" t="n">
        <v>29.18234138175794</v>
      </c>
      <c r="P8" s="222" t="n"/>
      <c r="Q8" s="223" t="n"/>
      <c r="R8" s="221" t="n">
        <v>29.31807481966303</v>
      </c>
      <c r="S8" s="222" t="n"/>
      <c r="T8" s="223" t="n"/>
      <c r="U8" s="224" t="n">
        <v>29.45283573122028</v>
      </c>
      <c r="V8" s="225" t="n">
        <v>28.86377901659587</v>
      </c>
      <c r="W8" s="234" t="n">
        <v>-0.5890567146244052</v>
      </c>
      <c r="X8" s="224" t="n">
        <v>29.58663850883775</v>
      </c>
      <c r="Y8" s="225" t="n">
        <v>28.994905738661</v>
      </c>
      <c r="Z8" s="234" t="n">
        <v>-0.5917327701767547</v>
      </c>
      <c r="AA8" s="224" t="n">
        <v>29.71949735500005</v>
      </c>
      <c r="AB8" s="225" t="n">
        <v>29.12510740790005</v>
      </c>
      <c r="AC8" s="234" t="n">
        <v>-0.5943899471000016</v>
      </c>
      <c r="AD8" s="224" t="n">
        <v>29.85142628480929</v>
      </c>
      <c r="AE8" s="225" t="n">
        <v>29.2543977591131</v>
      </c>
      <c r="AF8" s="234" t="n">
        <v>-0.5970285256961851</v>
      </c>
      <c r="AG8" s="224" t="n">
        <v>29.98243912849207</v>
      </c>
      <c r="AH8" s="225" t="n">
        <v>29.38279034592223</v>
      </c>
      <c r="AI8" s="234" t="n">
        <v>-0.5996487825698402</v>
      </c>
      <c r="AJ8" s="224" t="n">
        <v>30.11254953387308</v>
      </c>
      <c r="AK8" s="225" t="n">
        <v>29.51029854319562</v>
      </c>
      <c r="AL8" s="234" t="n">
        <v>-0.6022509906774616</v>
      </c>
      <c r="AM8" s="224" t="n">
        <v>30.2417709688155</v>
      </c>
      <c r="AN8" s="225" t="n">
        <v>29.63693554943919</v>
      </c>
      <c r="AO8" s="234" t="n">
        <v>-0.604835419376311</v>
      </c>
      <c r="AP8" s="224" t="n">
        <v>30.37011672362899</v>
      </c>
      <c r="AQ8" s="225" t="n">
        <v>29.76271438915641</v>
      </c>
      <c r="AR8" s="234" t="n">
        <v>-0.6074023344725816</v>
      </c>
      <c r="AS8" s="224" t="n">
        <v>30.4975999134454</v>
      </c>
      <c r="AT8" s="225" t="n">
        <v>29.88764791517649</v>
      </c>
      <c r="AU8" s="234" t="n">
        <v>-0.6099519982689117</v>
      </c>
      <c r="AV8" s="224" t="n">
        <v>30.62423348056278</v>
      </c>
      <c r="AW8" s="225" t="n">
        <v>30.01174881095152</v>
      </c>
      <c r="AX8" s="234" t="n">
        <v>-0.6124846696112556</v>
      </c>
      <c r="AY8" s="224" t="n">
        <v>30.75003019675808</v>
      </c>
      <c r="AZ8" s="225" t="n">
        <v>30.13502959282292</v>
      </c>
      <c r="BA8" s="234" t="n">
        <v>-0.6150006039351616</v>
      </c>
      <c r="BB8" s="224" t="n">
        <v>30.87500266556901</v>
      </c>
      <c r="BC8" s="225" t="n">
        <v>30.25750261225763</v>
      </c>
      <c r="BD8" s="234" t="n">
        <v>-0.6175000533113817</v>
      </c>
      <c r="BE8" s="224" t="n">
        <v>30.99916332454535</v>
      </c>
      <c r="BF8" s="225" t="n">
        <v>30.37918005805444</v>
      </c>
      <c r="BG8" s="234" t="n">
        <v>-0.6199832664909053</v>
      </c>
      <c r="BH8" s="224" t="n">
        <v>31.12252444747024</v>
      </c>
      <c r="BI8" s="225" t="n">
        <v>30.50007395852083</v>
      </c>
      <c r="BJ8" s="234" t="n">
        <v>-0.6224504889494078</v>
      </c>
      <c r="BK8" s="224" t="n">
        <v>31.24509814655179</v>
      </c>
      <c r="BL8" s="225" t="n">
        <v>30.62019618362076</v>
      </c>
      <c r="BM8" s="234" t="n">
        <v>-0.6249019629310339</v>
      </c>
      <c r="BN8" s="224" t="n">
        <v>31.36689637458546</v>
      </c>
      <c r="BO8" s="225" t="n">
        <v>30.73955844709375</v>
      </c>
      <c r="BP8" s="234" t="n">
        <v>-0.627337927491709</v>
      </c>
      <c r="BQ8" s="224" t="n">
        <v>31.48793092708744</v>
      </c>
      <c r="BR8" s="225" t="n">
        <v>30.85817230854569</v>
      </c>
      <c r="BS8" s="234" t="n">
        <v>-0.6297586185417501</v>
      </c>
      <c r="BT8" s="224" t="n">
        <v>31.60821344439972</v>
      </c>
      <c r="BU8" s="225" t="n">
        <v>30.97604917551172</v>
      </c>
      <c r="BV8" s="234" t="n">
        <v>-0.6321642688879976</v>
      </c>
    </row>
    <row r="9" ht="14" customHeight="1" s="10">
      <c r="A9" s="160" t="inlineStr">
        <is>
          <t>Gross Profit</t>
        </is>
      </c>
      <c r="B9" s="227" t="inlineStr">
        <is>
          <t>$M</t>
        </is>
      </c>
      <c r="C9" s="221" t="n">
        <v>0</v>
      </c>
      <c r="D9" s="222" t="n"/>
      <c r="E9" s="223" t="n"/>
      <c r="F9" s="221" t="n">
        <v>0</v>
      </c>
      <c r="G9" s="222" t="n"/>
      <c r="H9" s="223" t="n"/>
      <c r="I9" s="221" t="n">
        <v>0</v>
      </c>
      <c r="J9" s="222" t="n"/>
      <c r="K9" s="223" t="n"/>
      <c r="L9" s="221" t="n">
        <v>0</v>
      </c>
      <c r="M9" s="222" t="n"/>
      <c r="N9" s="223" t="n"/>
      <c r="O9" s="221" t="n">
        <v>0</v>
      </c>
      <c r="P9" s="222" t="n"/>
      <c r="Q9" s="223" t="n"/>
      <c r="R9" s="221" t="n">
        <v>0</v>
      </c>
      <c r="S9" s="222" t="n"/>
      <c r="T9" s="223" t="n"/>
      <c r="U9" s="224" t="n">
        <v>182.4380688099328</v>
      </c>
      <c r="V9" s="225" t="n">
        <v>182.4380688099328</v>
      </c>
      <c r="W9" s="226" t="n">
        <v>0</v>
      </c>
      <c r="X9" s="224" t="n">
        <v>183.2668759432324</v>
      </c>
      <c r="Y9" s="225" t="n">
        <v>183.2668759432324</v>
      </c>
      <c r="Z9" s="226" t="n">
        <v>0</v>
      </c>
      <c r="AA9" s="224" t="n">
        <v>184.089836134209</v>
      </c>
      <c r="AB9" s="225" t="n">
        <v>184.089836134209</v>
      </c>
      <c r="AC9" s="226" t="n">
        <v>0</v>
      </c>
      <c r="AD9" s="224" t="n">
        <v>184.9070361958331</v>
      </c>
      <c r="AE9" s="225" t="n">
        <v>184.9070361958331</v>
      </c>
      <c r="AF9" s="226" t="n">
        <v>0</v>
      </c>
      <c r="AG9" s="224" t="n">
        <v>185.7185617959113</v>
      </c>
      <c r="AH9" s="225" t="n">
        <v>185.7185617959113</v>
      </c>
      <c r="AI9" s="226" t="n">
        <v>0</v>
      </c>
      <c r="AJ9" s="224" t="n">
        <v>186.524497472408</v>
      </c>
      <c r="AK9" s="225" t="n">
        <v>186.524497472408</v>
      </c>
      <c r="AL9" s="226" t="n">
        <v>0</v>
      </c>
      <c r="AM9" s="224" t="n">
        <v>187.3249266485622</v>
      </c>
      <c r="AN9" s="225" t="n">
        <v>187.3249266485622</v>
      </c>
      <c r="AO9" s="226" t="n">
        <v>0</v>
      </c>
      <c r="AP9" s="224" t="n">
        <v>188.1199316478026</v>
      </c>
      <c r="AQ9" s="225" t="n">
        <v>188.1199316478026</v>
      </c>
      <c r="AR9" s="226" t="n">
        <v>0</v>
      </c>
      <c r="AS9" s="224" t="n">
        <v>188.9095937084639</v>
      </c>
      <c r="AT9" s="225" t="n">
        <v>188.9095937084639</v>
      </c>
      <c r="AU9" s="226" t="n">
        <v>0</v>
      </c>
      <c r="AV9" s="224" t="n">
        <v>189.6939929983061</v>
      </c>
      <c r="AW9" s="225" t="n">
        <v>189.6939929983061</v>
      </c>
      <c r="AX9" s="226" t="n">
        <v>0</v>
      </c>
      <c r="AY9" s="224" t="n">
        <v>190.4732086288396</v>
      </c>
      <c r="AZ9" s="225" t="n">
        <v>190.4732086288396</v>
      </c>
      <c r="BA9" s="226" t="n">
        <v>0</v>
      </c>
      <c r="BB9" s="224" t="n">
        <v>191.2473186694598</v>
      </c>
      <c r="BC9" s="225" t="n">
        <v>191.2473186694598</v>
      </c>
      <c r="BD9" s="226" t="n">
        <v>0</v>
      </c>
      <c r="BE9" s="224" t="n">
        <v>192.0164001613924</v>
      </c>
      <c r="BF9" s="225" t="n">
        <v>192.0164001613924</v>
      </c>
      <c r="BG9" s="226" t="n">
        <v>0</v>
      </c>
      <c r="BH9" s="224" t="n">
        <v>192.7805291314523</v>
      </c>
      <c r="BI9" s="225" t="n">
        <v>192.7805291314523</v>
      </c>
      <c r="BJ9" s="226" t="n">
        <v>0</v>
      </c>
      <c r="BK9" s="224" t="n">
        <v>193.5397806056193</v>
      </c>
      <c r="BL9" s="225" t="n">
        <v>193.5397806056193</v>
      </c>
      <c r="BM9" s="226" t="n">
        <v>0</v>
      </c>
      <c r="BN9" s="224" t="n">
        <v>194.2942286224322</v>
      </c>
      <c r="BO9" s="225" t="n">
        <v>194.2942286224322</v>
      </c>
      <c r="BP9" s="226" t="n">
        <v>0</v>
      </c>
      <c r="BQ9" s="224" t="n">
        <v>195.0439462462035</v>
      </c>
      <c r="BR9" s="225" t="n">
        <v>195.0439462462035</v>
      </c>
      <c r="BS9" s="226" t="n">
        <v>0</v>
      </c>
      <c r="BT9" s="224" t="n">
        <v>195.7890055800587</v>
      </c>
      <c r="BU9" s="225" t="n">
        <v>195.7890055800587</v>
      </c>
      <c r="BV9" s="226" t="n">
        <v>0</v>
      </c>
    </row>
    <row r="10" ht="14" customHeight="1" s="10">
      <c r="A10" s="235" t="inlineStr">
        <is>
          <t xml:space="preserve">  Gross Margin %</t>
        </is>
      </c>
      <c r="B10" s="220" t="inlineStr">
        <is>
          <t>%</t>
        </is>
      </c>
      <c r="C10" s="228" t="n">
        <v>0.861</v>
      </c>
      <c r="D10" s="229" t="n"/>
      <c r="E10" s="230" t="n"/>
      <c r="F10" s="228" t="n">
        <v>0.861</v>
      </c>
      <c r="G10" s="229" t="n"/>
      <c r="H10" s="230" t="n"/>
      <c r="I10" s="228" t="n">
        <v>0.861</v>
      </c>
      <c r="J10" s="229" t="n"/>
      <c r="K10" s="230" t="n"/>
      <c r="L10" s="228" t="n">
        <v>0.861</v>
      </c>
      <c r="M10" s="229" t="n"/>
      <c r="N10" s="230" t="n"/>
      <c r="O10" s="228" t="n">
        <v>0.861</v>
      </c>
      <c r="P10" s="229" t="n"/>
      <c r="Q10" s="230" t="n"/>
      <c r="R10" s="228" t="n">
        <v>0.8609999999999999</v>
      </c>
      <c r="S10" s="229" t="n"/>
      <c r="T10" s="230" t="n"/>
      <c r="U10" s="231" t="n">
        <v>0.861</v>
      </c>
      <c r="V10" s="232" t="n">
        <v>0.8356764705882354</v>
      </c>
      <c r="W10" s="233" t="n"/>
      <c r="X10" s="231" t="n">
        <v>0.861</v>
      </c>
      <c r="Y10" s="232" t="n">
        <v>0.8356764705882354</v>
      </c>
      <c r="Z10" s="233" t="n"/>
      <c r="AA10" s="231" t="n">
        <v>0.861</v>
      </c>
      <c r="AB10" s="232" t="n">
        <v>0.8356764705882352</v>
      </c>
      <c r="AC10" s="233" t="n"/>
      <c r="AD10" s="231" t="n">
        <v>0.861</v>
      </c>
      <c r="AE10" s="232" t="n">
        <v>0.8356764705882354</v>
      </c>
      <c r="AF10" s="233" t="n"/>
      <c r="AG10" s="231" t="n">
        <v>0.8610000000000001</v>
      </c>
      <c r="AH10" s="232" t="n">
        <v>0.8356764705882354</v>
      </c>
      <c r="AI10" s="233" t="n"/>
      <c r="AJ10" s="231" t="n">
        <v>0.861</v>
      </c>
      <c r="AK10" s="232" t="n">
        <v>0.8356764705882352</v>
      </c>
      <c r="AL10" s="233" t="n"/>
      <c r="AM10" s="231" t="n">
        <v>0.861</v>
      </c>
      <c r="AN10" s="232" t="n">
        <v>0.8439504950495048</v>
      </c>
      <c r="AO10" s="233" t="n"/>
      <c r="AP10" s="231" t="n">
        <v>0.861</v>
      </c>
      <c r="AQ10" s="232" t="n">
        <v>0.843950495049505</v>
      </c>
      <c r="AR10" s="233" t="n"/>
      <c r="AS10" s="231" t="n">
        <v>0.861</v>
      </c>
      <c r="AT10" s="232" t="n">
        <v>0.8439504950495048</v>
      </c>
      <c r="AU10" s="233" t="n"/>
      <c r="AV10" s="231" t="n">
        <v>0.861</v>
      </c>
      <c r="AW10" s="232" t="n">
        <v>0.843950495049505</v>
      </c>
      <c r="AX10" s="233" t="n"/>
      <c r="AY10" s="231" t="n">
        <v>0.861</v>
      </c>
      <c r="AZ10" s="232" t="n">
        <v>0.8439504950495049</v>
      </c>
      <c r="BA10" s="233" t="n"/>
      <c r="BB10" s="231" t="n">
        <v>0.861</v>
      </c>
      <c r="BC10" s="232" t="n">
        <v>0.8439504950495049</v>
      </c>
      <c r="BD10" s="233" t="n"/>
      <c r="BE10" s="231" t="n">
        <v>0.861</v>
      </c>
      <c r="BF10" s="232" t="n">
        <v>0.8439504950495049</v>
      </c>
      <c r="BG10" s="233" t="n"/>
      <c r="BH10" s="231" t="n">
        <v>0.861</v>
      </c>
      <c r="BI10" s="232" t="n">
        <v>0.8439504950495049</v>
      </c>
      <c r="BJ10" s="233" t="n"/>
      <c r="BK10" s="231" t="n">
        <v>0.861</v>
      </c>
      <c r="BL10" s="232" t="n">
        <v>0.8439504950495049</v>
      </c>
      <c r="BM10" s="233" t="n"/>
      <c r="BN10" s="231" t="n">
        <v>0.861</v>
      </c>
      <c r="BO10" s="232" t="n">
        <v>0.8439504950495049</v>
      </c>
      <c r="BP10" s="233" t="n"/>
      <c r="BQ10" s="231" t="n">
        <v>0.8610000000000001</v>
      </c>
      <c r="BR10" s="232" t="n">
        <v>0.843950495049505</v>
      </c>
      <c r="BS10" s="233" t="n"/>
      <c r="BT10" s="231" t="n">
        <v>0.861</v>
      </c>
      <c r="BU10" s="232" t="n">
        <v>0.8439504950495049</v>
      </c>
      <c r="BV10" s="233" t="n"/>
    </row>
    <row r="11" ht="14" customHeight="1" s="10">
      <c r="A11" s="218" t="inlineStr">
        <is>
          <t>OPERATING EXPENSES</t>
        </is>
      </c>
    </row>
    <row r="12" ht="14" customHeight="1" s="10">
      <c r="A12" s="219" t="inlineStr">
        <is>
          <t>Payroll Expense</t>
        </is>
      </c>
      <c r="B12" s="220" t="inlineStr">
        <is>
          <t>$M</t>
        </is>
      </c>
      <c r="C12" s="221" t="n">
        <v>-128.103</v>
      </c>
      <c r="D12" s="222" t="n"/>
      <c r="E12" s="223" t="n"/>
      <c r="F12" s="221" t="n">
        <v>-407.7675</v>
      </c>
      <c r="G12" s="222" t="n"/>
      <c r="H12" s="223" t="n"/>
      <c r="I12" s="221" t="n">
        <v>-408.031</v>
      </c>
      <c r="J12" s="222" t="n"/>
      <c r="K12" s="223" t="n"/>
      <c r="L12" s="221" t="n">
        <v>-408.301</v>
      </c>
      <c r="M12" s="222" t="n"/>
      <c r="N12" s="223" t="n"/>
      <c r="O12" s="221" t="n">
        <v>-408.582</v>
      </c>
      <c r="P12" s="222" t="n"/>
      <c r="Q12" s="223" t="n"/>
      <c r="R12" s="221" t="n">
        <v>-408.85275</v>
      </c>
      <c r="S12" s="222" t="n"/>
      <c r="T12" s="223" t="n"/>
      <c r="U12" s="224" t="n">
        <v>-409.12075</v>
      </c>
      <c r="V12" s="225" t="n">
        <v>-396.8471275</v>
      </c>
      <c r="W12" s="226" t="n">
        <v>12.27362249999999</v>
      </c>
      <c r="X12" s="224" t="n">
        <v>-409.399</v>
      </c>
      <c r="Y12" s="225" t="n">
        <v>-397.11703</v>
      </c>
      <c r="Z12" s="226" t="n">
        <v>12.28197</v>
      </c>
      <c r="AA12" s="224" t="n">
        <v>-409.6845</v>
      </c>
      <c r="AB12" s="225" t="n">
        <v>-397.393965</v>
      </c>
      <c r="AC12" s="226" t="n">
        <v>12.29053500000003</v>
      </c>
      <c r="AD12" s="224" t="n">
        <v>-409.95425</v>
      </c>
      <c r="AE12" s="225" t="n">
        <v>-397.6556225</v>
      </c>
      <c r="AF12" s="226" t="n">
        <v>12.29862750000001</v>
      </c>
      <c r="AG12" s="224" t="n">
        <v>-410.22225</v>
      </c>
      <c r="AH12" s="225" t="n">
        <v>-397.9155825</v>
      </c>
      <c r="AI12" s="226" t="n">
        <v>12.30666749999995</v>
      </c>
      <c r="AJ12" s="224" t="n">
        <v>-410.5015</v>
      </c>
      <c r="AK12" s="225" t="n">
        <v>-398.186455</v>
      </c>
      <c r="AL12" s="226" t="n">
        <v>12.315045</v>
      </c>
      <c r="AM12" s="224" t="n">
        <v>-410.7825</v>
      </c>
      <c r="AN12" s="225" t="n">
        <v>-398.459025</v>
      </c>
      <c r="AO12" s="226" t="n">
        <v>12.32347500000003</v>
      </c>
      <c r="AP12" s="224" t="n">
        <v>-411.05775</v>
      </c>
      <c r="AQ12" s="225" t="n">
        <v>-398.7260175</v>
      </c>
      <c r="AR12" s="226" t="n">
        <v>12.33173249999999</v>
      </c>
      <c r="AS12" s="224" t="n">
        <v>-411.31675</v>
      </c>
      <c r="AT12" s="225" t="n">
        <v>-398.9772475</v>
      </c>
      <c r="AU12" s="226" t="n">
        <v>12.33950250000004</v>
      </c>
      <c r="AV12" s="224" t="n">
        <v>-411.586</v>
      </c>
      <c r="AW12" s="225" t="n">
        <v>-399.23842</v>
      </c>
      <c r="AX12" s="226" t="n">
        <v>12.34757999999999</v>
      </c>
      <c r="AY12" s="224" t="n">
        <v>-411.867</v>
      </c>
      <c r="AZ12" s="225" t="n">
        <v>-399.51099</v>
      </c>
      <c r="BA12" s="226" t="n">
        <v>12.35601000000003</v>
      </c>
      <c r="BB12" s="224" t="n">
        <v>-412.1415</v>
      </c>
      <c r="BC12" s="225" t="n">
        <v>-399.777255</v>
      </c>
      <c r="BD12" s="226" t="n">
        <v>12.36424499999998</v>
      </c>
      <c r="BE12" s="224" t="n">
        <v>-412.4095</v>
      </c>
      <c r="BF12" s="225" t="n">
        <v>-400.037215</v>
      </c>
      <c r="BG12" s="226" t="n">
        <v>12.37228499999998</v>
      </c>
      <c r="BH12" s="224" t="n">
        <v>-412.684</v>
      </c>
      <c r="BI12" s="225" t="n">
        <v>-400.30348</v>
      </c>
      <c r="BJ12" s="226" t="n">
        <v>12.38052000000005</v>
      </c>
      <c r="BK12" s="224" t="n">
        <v>-412.9695</v>
      </c>
      <c r="BL12" s="225" t="n">
        <v>-400.580415</v>
      </c>
      <c r="BM12" s="226" t="n">
        <v>12.38908499999997</v>
      </c>
      <c r="BN12" s="224" t="n">
        <v>-413.2355</v>
      </c>
      <c r="BO12" s="225" t="n">
        <v>-400.838435</v>
      </c>
      <c r="BP12" s="226" t="n">
        <v>12.397065</v>
      </c>
      <c r="BQ12" s="224" t="n">
        <v>-413.5035</v>
      </c>
      <c r="BR12" s="225" t="n">
        <v>-401.098395</v>
      </c>
      <c r="BS12" s="226" t="n">
        <v>12.40510499999999</v>
      </c>
      <c r="BT12" s="224" t="n">
        <v>-413.7865</v>
      </c>
      <c r="BU12" s="225" t="n">
        <v>-401.372905</v>
      </c>
      <c r="BV12" s="226" t="n">
        <v>12.41359499999999</v>
      </c>
    </row>
    <row r="13" ht="14" customHeight="1" s="10">
      <c r="A13" s="160" t="inlineStr">
        <is>
          <t>Non-Payroll Opex</t>
        </is>
      </c>
      <c r="B13" s="227" t="inlineStr">
        <is>
          <t>$M</t>
        </is>
      </c>
      <c r="C13" s="221" t="n">
        <v>28.59668181725</v>
      </c>
      <c r="D13" s="222" t="n"/>
      <c r="E13" s="223" t="n"/>
      <c r="F13" s="221" t="n">
        <v>28.69723675014126</v>
      </c>
      <c r="G13" s="222" t="n"/>
      <c r="H13" s="223" t="n"/>
      <c r="I13" s="221" t="n">
        <v>28.7970492029984</v>
      </c>
      <c r="J13" s="222" t="n"/>
      <c r="K13" s="223" t="n"/>
      <c r="L13" s="221" t="n">
        <v>28.89613009539437</v>
      </c>
      <c r="M13" s="222" t="n"/>
      <c r="N13" s="223" t="n"/>
      <c r="O13" s="221" t="n">
        <v>28.99449020270347</v>
      </c>
      <c r="P13" s="222" t="n"/>
      <c r="Q13" s="223" t="n"/>
      <c r="R13" s="221" t="n">
        <v>29.09214015803075</v>
      </c>
      <c r="S13" s="222" t="n"/>
      <c r="T13" s="223" t="n"/>
      <c r="U13" s="224" t="n">
        <v>29.18909045411539</v>
      </c>
      <c r="V13" s="225" t="n">
        <v>29.18909045411539</v>
      </c>
      <c r="W13" s="226" t="n">
        <v>0</v>
      </c>
      <c r="X13" s="224" t="n">
        <v>29.28535144520712</v>
      </c>
      <c r="Y13" s="225" t="n">
        <v>29.28535144520712</v>
      </c>
      <c r="Z13" s="226" t="n">
        <v>0</v>
      </c>
      <c r="AA13" s="224" t="n">
        <v>29.3809333489213</v>
      </c>
      <c r="AB13" s="225" t="n">
        <v>29.3809333489213</v>
      </c>
      <c r="AC13" s="226" t="n">
        <v>0</v>
      </c>
      <c r="AD13" s="224" t="n">
        <v>29.47584624806404</v>
      </c>
      <c r="AE13" s="225" t="n">
        <v>29.47584624806404</v>
      </c>
      <c r="AF13" s="226" t="n">
        <v>0</v>
      </c>
      <c r="AG13" s="224" t="n">
        <v>29.57010009244013</v>
      </c>
      <c r="AH13" s="225" t="n">
        <v>29.57010009244013</v>
      </c>
      <c r="AI13" s="226" t="n">
        <v>0</v>
      </c>
      <c r="AJ13" s="224" t="n">
        <v>29.66370470062828</v>
      </c>
      <c r="AK13" s="225" t="n">
        <v>29.66370470062828</v>
      </c>
      <c r="AL13" s="226" t="n">
        <v>0</v>
      </c>
      <c r="AM13" s="224" t="n">
        <v>29.75666976173782</v>
      </c>
      <c r="AN13" s="225" t="n">
        <v>29.75666976173782</v>
      </c>
      <c r="AO13" s="226" t="n">
        <v>0</v>
      </c>
      <c r="AP13" s="224" t="n">
        <v>29.84900483714295</v>
      </c>
      <c r="AQ13" s="225" t="n">
        <v>29.84900483714295</v>
      </c>
      <c r="AR13" s="226" t="n">
        <v>0</v>
      </c>
      <c r="AS13" s="224" t="n">
        <v>29.9407193621912</v>
      </c>
      <c r="AT13" s="225" t="n">
        <v>29.9407193621912</v>
      </c>
      <c r="AU13" s="226" t="n">
        <v>0</v>
      </c>
      <c r="AV13" s="224" t="n">
        <v>30.03182264788723</v>
      </c>
      <c r="AW13" s="225" t="n">
        <v>30.03182264788723</v>
      </c>
      <c r="AX13" s="226" t="n">
        <v>0</v>
      </c>
      <c r="AY13" s="224" t="n">
        <v>30.12232388255978</v>
      </c>
      <c r="AZ13" s="225" t="n">
        <v>30.12232388255978</v>
      </c>
      <c r="BA13" s="226" t="n">
        <v>0</v>
      </c>
      <c r="BB13" s="224" t="n">
        <v>30.21223213350296</v>
      </c>
      <c r="BC13" s="225" t="n">
        <v>30.21223213350296</v>
      </c>
      <c r="BD13" s="226" t="n">
        <v>0</v>
      </c>
      <c r="BE13" s="224" t="n">
        <v>30.30155634859371</v>
      </c>
      <c r="BF13" s="225" t="n">
        <v>30.30155634859371</v>
      </c>
      <c r="BG13" s="226" t="n">
        <v>0</v>
      </c>
      <c r="BH13" s="224" t="n">
        <v>30.39030535789299</v>
      </c>
      <c r="BI13" s="225" t="n">
        <v>30.39030535789299</v>
      </c>
      <c r="BJ13" s="226" t="n">
        <v>0</v>
      </c>
      <c r="BK13" s="224" t="n">
        <v>30.47848787521648</v>
      </c>
      <c r="BL13" s="225" t="n">
        <v>30.47848787521648</v>
      </c>
      <c r="BM13" s="226" t="n">
        <v>0</v>
      </c>
      <c r="BN13" s="224" t="n">
        <v>30.56611249970055</v>
      </c>
      <c r="BO13" s="225" t="n">
        <v>30.56611249970055</v>
      </c>
      <c r="BP13" s="226" t="n">
        <v>0</v>
      </c>
      <c r="BQ13" s="224" t="n">
        <v>30.65318771732903</v>
      </c>
      <c r="BR13" s="225" t="n">
        <v>30.65318771732903</v>
      </c>
      <c r="BS13" s="226" t="n">
        <v>0</v>
      </c>
      <c r="BT13" s="224" t="n">
        <v>30.73972190244675</v>
      </c>
      <c r="BU13" s="225" t="n">
        <v>30.73972190244675</v>
      </c>
      <c r="BV13" s="226" t="n">
        <v>0</v>
      </c>
    </row>
    <row r="14" ht="14" customHeight="1" s="10">
      <c r="A14" s="219" t="inlineStr">
        <is>
          <t>EBITDA</t>
        </is>
      </c>
      <c r="B14" s="220" t="inlineStr">
        <is>
          <t>$M</t>
        </is>
      </c>
      <c r="C14" s="221" t="n">
        <v>0</v>
      </c>
      <c r="D14" s="222" t="n"/>
      <c r="E14" s="223" t="n"/>
      <c r="F14" s="221" t="n">
        <v>0</v>
      </c>
      <c r="G14" s="222" t="n"/>
      <c r="H14" s="223" t="n"/>
      <c r="I14" s="221" t="n">
        <v>0</v>
      </c>
      <c r="J14" s="222" t="n"/>
      <c r="K14" s="223" t="n"/>
      <c r="L14" s="221" t="n">
        <v>0</v>
      </c>
      <c r="M14" s="222" t="n"/>
      <c r="N14" s="223" t="n"/>
      <c r="O14" s="221" t="n">
        <v>0</v>
      </c>
      <c r="P14" s="222" t="n"/>
      <c r="Q14" s="223" t="n"/>
      <c r="R14" s="221" t="n">
        <v>0</v>
      </c>
      <c r="S14" s="222" t="n"/>
      <c r="T14" s="223" t="n"/>
      <c r="U14" s="224" t="n">
        <v>409.858541753202</v>
      </c>
      <c r="V14" s="225" t="n">
        <v>409.858541753202</v>
      </c>
      <c r="W14" s="226" t="n">
        <v>0</v>
      </c>
      <c r="X14" s="224" t="n">
        <v>410.1315461422081</v>
      </c>
      <c r="Y14" s="225" t="n">
        <v>410.1315461422081</v>
      </c>
      <c r="Z14" s="226" t="n">
        <v>0</v>
      </c>
      <c r="AA14" s="224" t="n">
        <v>410.4118782872624</v>
      </c>
      <c r="AB14" s="225" t="n">
        <v>410.4118782872624</v>
      </c>
      <c r="AC14" s="226" t="n">
        <v>0</v>
      </c>
      <c r="AD14" s="224" t="n">
        <v>410.6765371624813</v>
      </c>
      <c r="AE14" s="225" t="n">
        <v>410.6765371624813</v>
      </c>
      <c r="AF14" s="226" t="n">
        <v>0</v>
      </c>
      <c r="AG14" s="224" t="n">
        <v>410.939521755703</v>
      </c>
      <c r="AH14" s="225" t="n">
        <v>410.939521755703</v>
      </c>
      <c r="AI14" s="226" t="n">
        <v>0</v>
      </c>
      <c r="AJ14" s="224" t="n">
        <v>411.2138310683079</v>
      </c>
      <c r="AK14" s="225" t="n">
        <v>411.2138310683079</v>
      </c>
      <c r="AL14" s="226" t="n">
        <v>0</v>
      </c>
      <c r="AM14" s="224" t="n">
        <v>411.4899641150446</v>
      </c>
      <c r="AN14" s="225" t="n">
        <v>411.4899641150446</v>
      </c>
      <c r="AO14" s="226" t="n">
        <v>0</v>
      </c>
      <c r="AP14" s="224" t="n">
        <v>411.7604199238348</v>
      </c>
      <c r="AQ14" s="225" t="n">
        <v>411.7604199238348</v>
      </c>
      <c r="AR14" s="226" t="n">
        <v>0</v>
      </c>
      <c r="AS14" s="224" t="n">
        <v>412.014697535613</v>
      </c>
      <c r="AT14" s="225" t="n">
        <v>412.014697535613</v>
      </c>
      <c r="AU14" s="226" t="n">
        <v>0</v>
      </c>
      <c r="AV14" s="224" t="n">
        <v>412.2792960041466</v>
      </c>
      <c r="AW14" s="225" t="n">
        <v>412.2792960041466</v>
      </c>
      <c r="AX14" s="226" t="n">
        <v>0</v>
      </c>
      <c r="AY14" s="224" t="n">
        <v>412.5557143958607</v>
      </c>
      <c r="AZ14" s="225" t="n">
        <v>412.5557143958607</v>
      </c>
      <c r="BA14" s="226" t="n">
        <v>0</v>
      </c>
      <c r="BB14" s="224" t="n">
        <v>412.8257017896776</v>
      </c>
      <c r="BC14" s="225" t="n">
        <v>412.8257017896776</v>
      </c>
      <c r="BD14" s="226" t="n">
        <v>0</v>
      </c>
      <c r="BE14" s="224" t="n">
        <v>413.0892572768412</v>
      </c>
      <c r="BF14" s="225" t="n">
        <v>413.0892572768412</v>
      </c>
      <c r="BG14" s="226" t="n">
        <v>0</v>
      </c>
      <c r="BH14" s="224" t="n">
        <v>413.3593799607611</v>
      </c>
      <c r="BI14" s="225" t="n">
        <v>413.3593799607611</v>
      </c>
      <c r="BJ14" s="226" t="n">
        <v>0</v>
      </c>
      <c r="BK14" s="224" t="n">
        <v>413.6405689568434</v>
      </c>
      <c r="BL14" s="225" t="n">
        <v>413.6405689568434</v>
      </c>
      <c r="BM14" s="226" t="n">
        <v>0</v>
      </c>
      <c r="BN14" s="224" t="n">
        <v>413.9023233923292</v>
      </c>
      <c r="BO14" s="225" t="n">
        <v>413.9023233923292</v>
      </c>
      <c r="BP14" s="226" t="n">
        <v>0</v>
      </c>
      <c r="BQ14" s="224" t="n">
        <v>414.1661424061432</v>
      </c>
      <c r="BR14" s="225" t="n">
        <v>414.1661424061432</v>
      </c>
      <c r="BS14" s="226" t="n">
        <v>0</v>
      </c>
      <c r="BT14" s="224" t="n">
        <v>414.4450251487369</v>
      </c>
      <c r="BU14" s="225" t="n">
        <v>414.4450251487369</v>
      </c>
      <c r="BV14" s="226" t="n">
        <v>0</v>
      </c>
    </row>
    <row r="15" ht="14" customHeight="1" s="10">
      <c r="A15" s="175" t="inlineStr">
        <is>
          <t xml:space="preserve">  EBITDA Margin %</t>
        </is>
      </c>
      <c r="B15" s="227" t="inlineStr">
        <is>
          <t>%</t>
        </is>
      </c>
      <c r="C15" s="228" t="n">
        <v>1.34411819867709</v>
      </c>
      <c r="D15" s="229" t="n"/>
      <c r="E15" s="230" t="n"/>
      <c r="F15" s="228" t="n">
        <v>1.973851524100262</v>
      </c>
      <c r="G15" s="229" t="n"/>
      <c r="H15" s="230" t="n"/>
      <c r="I15" s="228" t="n">
        <v>1.965618145036201</v>
      </c>
      <c r="J15" s="229" t="n"/>
      <c r="K15" s="230" t="n"/>
      <c r="L15" s="228" t="n">
        <v>1.957563451814899</v>
      </c>
      <c r="M15" s="229" t="n"/>
      <c r="N15" s="230" t="n"/>
      <c r="O15" s="228" t="n">
        <v>1.949704500869051</v>
      </c>
      <c r="P15" s="229" t="n"/>
      <c r="Q15" s="230" t="n"/>
      <c r="R15" s="228" t="n">
        <v>1.941936015459699</v>
      </c>
      <c r="S15" s="229" t="n"/>
      <c r="T15" s="230" t="n"/>
      <c r="U15" s="231" t="n">
        <v>1.934290396469566</v>
      </c>
      <c r="V15" s="232" t="n">
        <v>1.953633300434262</v>
      </c>
      <c r="W15" s="233" t="n"/>
      <c r="X15" s="231" t="n">
        <v>1.926825343701621</v>
      </c>
      <c r="Y15" s="232" t="n">
        <v>1.946093597138638</v>
      </c>
      <c r="Z15" s="233" t="n"/>
      <c r="AA15" s="231" t="n">
        <v>1.919522742948806</v>
      </c>
      <c r="AB15" s="232" t="n">
        <v>1.938717970378294</v>
      </c>
      <c r="AC15" s="233" t="n"/>
      <c r="AD15" s="231" t="n">
        <v>1.912271732712272</v>
      </c>
      <c r="AE15" s="232" t="n">
        <v>1.931394450039394</v>
      </c>
      <c r="AF15" s="233" t="n"/>
      <c r="AG15" s="231" t="n">
        <v>1.90513497848684</v>
      </c>
      <c r="AH15" s="232" t="n">
        <v>1.924186328271708</v>
      </c>
      <c r="AI15" s="233" t="n"/>
      <c r="AJ15" s="231" t="n">
        <v>1.898169480940096</v>
      </c>
      <c r="AK15" s="232" t="n">
        <v>1.917151175749497</v>
      </c>
      <c r="AL15" s="233" t="n"/>
      <c r="AM15" s="231" t="n">
        <v>1.891327894486448</v>
      </c>
      <c r="AN15" s="232" t="n">
        <v>1.910241173431313</v>
      </c>
      <c r="AO15" s="233" t="n"/>
      <c r="AP15" s="231" t="n">
        <v>1.884572880975544</v>
      </c>
      <c r="AQ15" s="232" t="n">
        <v>1.903418609785299</v>
      </c>
      <c r="AR15" s="233" t="n"/>
      <c r="AS15" s="231" t="n">
        <v>1.877854097371174</v>
      </c>
      <c r="AT15" s="232" t="n">
        <v>1.896632638344886</v>
      </c>
      <c r="AU15" s="233" t="n"/>
      <c r="AV15" s="231" t="n">
        <v>1.871290008971133</v>
      </c>
      <c r="AW15" s="232" t="n">
        <v>1.890002909060844</v>
      </c>
      <c r="AX15" s="233" t="n"/>
      <c r="AY15" s="231" t="n">
        <v>1.864884162197358</v>
      </c>
      <c r="AZ15" s="232" t="n">
        <v>1.883533003819331</v>
      </c>
      <c r="BA15" s="233" t="n"/>
      <c r="BB15" s="231" t="n">
        <v>1.858551177155264</v>
      </c>
      <c r="BC15" s="232" t="n">
        <v>1.877136688926817</v>
      </c>
      <c r="BD15" s="233" t="n"/>
      <c r="BE15" s="231" t="n">
        <v>1.852288920198561</v>
      </c>
      <c r="BF15" s="232" t="n">
        <v>1.870811809400546</v>
      </c>
      <c r="BG15" s="233" t="n"/>
      <c r="BH15" s="231" t="n">
        <v>1.846153383589554</v>
      </c>
      <c r="BI15" s="232" t="n">
        <v>1.86461491742545</v>
      </c>
      <c r="BJ15" s="233" t="n"/>
      <c r="BK15" s="231" t="n">
        <v>1.84016189724616</v>
      </c>
      <c r="BL15" s="232" t="n">
        <v>1.858563516218622</v>
      </c>
      <c r="BM15" s="233" t="n"/>
      <c r="BN15" s="231" t="n">
        <v>1.83417645993655</v>
      </c>
      <c r="BO15" s="232" t="n">
        <v>1.852518224535916</v>
      </c>
      <c r="BP15" s="233" t="n"/>
      <c r="BQ15" s="231" t="n">
        <v>1.828290779974056</v>
      </c>
      <c r="BR15" s="232" t="n">
        <v>1.846573687773797</v>
      </c>
      <c r="BS15" s="233" t="n"/>
      <c r="BT15" s="231" t="n">
        <v>1.822559778552789</v>
      </c>
      <c r="BU15" s="232" t="n">
        <v>1.840785376338317</v>
      </c>
      <c r="BV15" s="233" t="n"/>
    </row>
    <row r="16" ht="14" customHeight="1" s="10">
      <c r="A16" s="218" t="inlineStr">
        <is>
          <t>NET INCOME</t>
        </is>
      </c>
    </row>
    <row r="17" ht="14" customHeight="1" s="10">
      <c r="A17" s="160" t="inlineStr">
        <is>
          <t>Net Income</t>
        </is>
      </c>
      <c r="B17" s="227" t="inlineStr">
        <is>
          <t>$M</t>
        </is>
      </c>
      <c r="C17" s="221" t="n">
        <v>0</v>
      </c>
      <c r="D17" s="222" t="n"/>
      <c r="E17" s="223" t="n"/>
      <c r="F17" s="221" t="n">
        <v>0</v>
      </c>
      <c r="G17" s="222" t="n"/>
      <c r="H17" s="223" t="n"/>
      <c r="I17" s="221" t="n">
        <v>0</v>
      </c>
      <c r="J17" s="222" t="n"/>
      <c r="K17" s="223" t="n"/>
      <c r="L17" s="221" t="n">
        <v>0</v>
      </c>
      <c r="M17" s="222" t="n"/>
      <c r="N17" s="223" t="n"/>
      <c r="O17" s="221" t="n">
        <v>0</v>
      </c>
      <c r="P17" s="222" t="n"/>
      <c r="Q17" s="223" t="n"/>
      <c r="R17" s="221" t="n">
        <v>0</v>
      </c>
      <c r="S17" s="222" t="n"/>
      <c r="T17" s="223" t="n"/>
      <c r="U17" s="224" t="n">
        <v>323.5929552013442</v>
      </c>
      <c r="V17" s="225" t="n">
        <v>323.5929552013442</v>
      </c>
      <c r="W17" s="226" t="n">
        <v>0</v>
      </c>
      <c r="X17" s="224" t="n">
        <v>323.8077414631906</v>
      </c>
      <c r="Y17" s="225" t="n">
        <v>323.8077414631906</v>
      </c>
      <c r="Z17" s="226" t="n">
        <v>0</v>
      </c>
      <c r="AA17" s="224" t="n">
        <v>324.0283229112382</v>
      </c>
      <c r="AB17" s="225" t="n">
        <v>324.0283229112382</v>
      </c>
      <c r="AC17" s="226" t="n">
        <v>0</v>
      </c>
      <c r="AD17" s="224" t="n">
        <v>324.2365286421075</v>
      </c>
      <c r="AE17" s="225" t="n">
        <v>324.2365286421075</v>
      </c>
      <c r="AF17" s="226" t="n">
        <v>0</v>
      </c>
      <c r="AG17" s="224" t="n">
        <v>324.4434177644873</v>
      </c>
      <c r="AH17" s="225" t="n">
        <v>324.4434177644873</v>
      </c>
      <c r="AI17" s="226" t="n">
        <v>0</v>
      </c>
      <c r="AJ17" s="224" t="n">
        <v>324.659259398972</v>
      </c>
      <c r="AK17" s="225" t="n">
        <v>324.659259398972</v>
      </c>
      <c r="AL17" s="226" t="n">
        <v>0</v>
      </c>
      <c r="AM17" s="224" t="n">
        <v>324.8765476779146</v>
      </c>
      <c r="AN17" s="225" t="n">
        <v>324.8765476779146</v>
      </c>
      <c r="AO17" s="226" t="n">
        <v>0</v>
      </c>
      <c r="AP17" s="224" t="n">
        <v>325.0893567452474</v>
      </c>
      <c r="AQ17" s="225" t="n">
        <v>325.0893567452474</v>
      </c>
      <c r="AR17" s="226" t="n">
        <v>0</v>
      </c>
      <c r="AS17" s="224" t="n">
        <v>325.2893907563458</v>
      </c>
      <c r="AT17" s="225" t="n">
        <v>325.2893907563458</v>
      </c>
      <c r="AU17" s="226" t="n">
        <v>0</v>
      </c>
      <c r="AV17" s="224" t="n">
        <v>325.4975838778715</v>
      </c>
      <c r="AW17" s="225" t="n">
        <v>325.4975838778715</v>
      </c>
      <c r="AX17" s="226" t="n">
        <v>0</v>
      </c>
      <c r="AY17" s="224" t="n">
        <v>325.715120287612</v>
      </c>
      <c r="AZ17" s="225" t="n">
        <v>325.715120287612</v>
      </c>
      <c r="BA17" s="226" t="n">
        <v>0</v>
      </c>
      <c r="BB17" s="224" t="n">
        <v>325.9275816743479</v>
      </c>
      <c r="BC17" s="225" t="n">
        <v>325.9275816743479</v>
      </c>
      <c r="BD17" s="226" t="n">
        <v>0</v>
      </c>
      <c r="BE17" s="224" t="n">
        <v>326.1349672376928</v>
      </c>
      <c r="BF17" s="225" t="n">
        <v>326.1349672376928</v>
      </c>
      <c r="BG17" s="226" t="n">
        <v>0</v>
      </c>
      <c r="BH17" s="224" t="n">
        <v>326.347546187952</v>
      </c>
      <c r="BI17" s="225" t="n">
        <v>326.347546187952</v>
      </c>
      <c r="BJ17" s="226" t="n">
        <v>0</v>
      </c>
      <c r="BK17" s="224" t="n">
        <v>326.5688727459898</v>
      </c>
      <c r="BL17" s="225" t="n">
        <v>326.5688727459898</v>
      </c>
      <c r="BM17" s="226" t="n">
        <v>0</v>
      </c>
      <c r="BN17" s="224" t="n">
        <v>326.7748511430664</v>
      </c>
      <c r="BO17" s="225" t="n">
        <v>326.7748511430664</v>
      </c>
      <c r="BP17" s="226" t="n">
        <v>0</v>
      </c>
      <c r="BQ17" s="224" t="n">
        <v>326.9824656207256</v>
      </c>
      <c r="BR17" s="225" t="n">
        <v>326.9824656207256</v>
      </c>
      <c r="BS17" s="226" t="n">
        <v>0</v>
      </c>
      <c r="BT17" s="224" t="n">
        <v>327.2019854306354</v>
      </c>
      <c r="BU17" s="225" t="n">
        <v>327.2019854306354</v>
      </c>
      <c r="BV17" s="226" t="n">
        <v>0</v>
      </c>
    </row>
    <row r="18" ht="14" customHeight="1" s="10">
      <c r="A18" s="235" t="inlineStr">
        <is>
          <t xml:space="preserve">  Net Margin %</t>
        </is>
      </c>
      <c r="B18" s="220" t="inlineStr">
        <is>
          <t>%</t>
        </is>
      </c>
      <c r="C18" s="228" t="n">
        <v>1.053640836463716</v>
      </c>
      <c r="D18" s="229" t="n"/>
      <c r="E18" s="230" t="n"/>
      <c r="F18" s="228" t="n">
        <v>1.55842103737254</v>
      </c>
      <c r="G18" s="229" t="n"/>
      <c r="H18" s="230" t="n"/>
      <c r="I18" s="228" t="n">
        <v>1.551916667911932</v>
      </c>
      <c r="J18" s="229" t="n"/>
      <c r="K18" s="230" t="n"/>
      <c r="L18" s="228" t="n">
        <v>1.545553460267103</v>
      </c>
      <c r="M18" s="229" t="n"/>
      <c r="N18" s="230" t="n"/>
      <c r="O18" s="228" t="n">
        <v>1.539344889019884</v>
      </c>
      <c r="P18" s="229" t="n"/>
      <c r="Q18" s="230" t="n"/>
      <c r="R18" s="228" t="n">
        <v>1.533207785546495</v>
      </c>
      <c r="S18" s="229" t="n"/>
      <c r="T18" s="230" t="n"/>
      <c r="U18" s="231" t="n">
        <v>1.527167746544291</v>
      </c>
      <c r="V18" s="232" t="n">
        <v>1.542439424009734</v>
      </c>
      <c r="W18" s="233" t="n"/>
      <c r="X18" s="231" t="n">
        <v>1.521270354857612</v>
      </c>
      <c r="Y18" s="232" t="n">
        <v>1.536483058406188</v>
      </c>
      <c r="Z18" s="233" t="n"/>
      <c r="AA18" s="231" t="n">
        <v>1.51550130026289</v>
      </c>
      <c r="AB18" s="232" t="n">
        <v>1.530656313265519</v>
      </c>
      <c r="AC18" s="233" t="n"/>
      <c r="AD18" s="231" t="n">
        <v>1.509773002176029</v>
      </c>
      <c r="AE18" s="232" t="n">
        <v>1.524870732197789</v>
      </c>
      <c r="AF18" s="233" t="n"/>
      <c r="AG18" s="231" t="n">
        <v>1.504134966337939</v>
      </c>
      <c r="AH18" s="232" t="n">
        <v>1.519176316001319</v>
      </c>
      <c r="AI18" s="233" t="n"/>
      <c r="AJ18" s="231" t="n">
        <v>1.498632223276008</v>
      </c>
      <c r="AK18" s="232" t="n">
        <v>1.513618545508768</v>
      </c>
      <c r="AL18" s="233" t="n"/>
      <c r="AM18" s="231" t="n">
        <v>1.493227369977628</v>
      </c>
      <c r="AN18" s="232" t="n">
        <v>1.508159643677404</v>
      </c>
      <c r="AO18" s="233" t="n"/>
      <c r="AP18" s="231" t="n">
        <v>1.487890909304014</v>
      </c>
      <c r="AQ18" s="232" t="n">
        <v>1.502769818397054</v>
      </c>
      <c r="AR18" s="233" t="n"/>
      <c r="AS18" s="231" t="n">
        <v>1.482583070256559</v>
      </c>
      <c r="AT18" s="232" t="n">
        <v>1.497408900959125</v>
      </c>
      <c r="AU18" s="233" t="n"/>
      <c r="AV18" s="231" t="n">
        <v>1.47739744042053</v>
      </c>
      <c r="AW18" s="232" t="n">
        <v>1.492171414824735</v>
      </c>
      <c r="AX18" s="233" t="n"/>
      <c r="AY18" s="231" t="n">
        <v>1.472336821469244</v>
      </c>
      <c r="AZ18" s="232" t="n">
        <v>1.487060189683937</v>
      </c>
      <c r="BA18" s="233" t="n"/>
      <c r="BB18" s="231" t="n">
        <v>1.46733376328599</v>
      </c>
      <c r="BC18" s="232" t="n">
        <v>1.48200710091885</v>
      </c>
      <c r="BD18" s="233" t="n"/>
      <c r="BE18" s="231" t="n">
        <v>1.462386580290202</v>
      </c>
      <c r="BF18" s="232" t="n">
        <v>1.477010446093104</v>
      </c>
      <c r="BG18" s="233" t="n"/>
      <c r="BH18" s="231" t="n">
        <v>1.457539506369078</v>
      </c>
      <c r="BI18" s="232" t="n">
        <v>1.472114901432769</v>
      </c>
      <c r="BJ18" s="233" t="n"/>
      <c r="BK18" s="231" t="n">
        <v>1.452806232157801</v>
      </c>
      <c r="BL18" s="232" t="n">
        <v>1.467334294479379</v>
      </c>
      <c r="BM18" s="233" t="n"/>
      <c r="BN18" s="231" t="n">
        <v>1.448077736683202</v>
      </c>
      <c r="BO18" s="232" t="n">
        <v>1.462558514050034</v>
      </c>
      <c r="BP18" s="233" t="n"/>
      <c r="BQ18" s="231" t="n">
        <v>1.44342804951284</v>
      </c>
      <c r="BR18" s="232" t="n">
        <v>1.457862330007969</v>
      </c>
      <c r="BS18" s="233" t="n"/>
      <c r="BT18" s="231" t="n">
        <v>1.43890055839004</v>
      </c>
      <c r="BU18" s="232" t="n">
        <v>1.453289563973941</v>
      </c>
      <c r="BV18" s="233" t="n"/>
    </row>
    <row r="20" ht="16" customHeight="1" s="10">
      <c r="A20" s="149" t="inlineStr">
        <is>
          <t>FULL-YEAR SUMMARY</t>
        </is>
      </c>
    </row>
    <row r="21" ht="14" customHeight="1" s="10">
      <c r="A21" s="236" t="inlineStr">
        <is>
          <t>Metric</t>
        </is>
      </c>
      <c r="B21" s="236" t="inlineStr">
        <is>
          <t>Unit</t>
        </is>
      </c>
      <c r="C21" s="237" t="inlineStr">
        <is>
          <t>FY24 Orig FC</t>
        </is>
      </c>
      <c r="D21" s="238" t="inlineStr">
        <is>
          <t>FY24 Rev FC</t>
        </is>
      </c>
      <c r="E21" s="239" t="inlineStr">
        <is>
          <t>FY24 Δ</t>
        </is>
      </c>
      <c r="F21" s="237" t="inlineStr">
        <is>
          <t>FY25 Orig FC</t>
        </is>
      </c>
      <c r="G21" s="238" t="inlineStr">
        <is>
          <t>FY25 Rev FC</t>
        </is>
      </c>
      <c r="H21" s="239" t="inlineStr">
        <is>
          <t>FY25 Δ</t>
        </is>
      </c>
    </row>
    <row r="22" ht="14" customHeight="1" s="10">
      <c r="A22" s="219" t="inlineStr">
        <is>
          <t>Total Revenue</t>
        </is>
      </c>
      <c r="B22" s="220" t="inlineStr">
        <is>
          <t>$M</t>
        </is>
      </c>
      <c r="C22" s="224" t="n">
        <v>2536.387545158944</v>
      </c>
      <c r="D22" s="225" t="n">
        <v>2562.100550416819</v>
      </c>
      <c r="E22" s="240" t="n">
        <v>25.71300525787547</v>
      </c>
      <c r="F22" s="224" t="n">
        <v>2670.421443262012</v>
      </c>
      <c r="G22" s="225" t="n">
        <v>2697.125657694633</v>
      </c>
      <c r="H22" s="240" t="n">
        <v>26.70421443262012</v>
      </c>
    </row>
    <row r="23" ht="14" customHeight="1" s="10">
      <c r="A23" s="160" t="inlineStr">
        <is>
          <t>Gross Profit</t>
        </is>
      </c>
      <c r="B23" s="227" t="inlineStr">
        <is>
          <t>$M</t>
        </is>
      </c>
      <c r="C23" s="224" t="n">
        <v>2183.829676381851</v>
      </c>
      <c r="D23" s="225" t="n">
        <v>2183.829676381851</v>
      </c>
      <c r="E23" s="240" t="n">
        <v>0</v>
      </c>
      <c r="F23" s="224" t="n">
        <v>2299.232862648592</v>
      </c>
      <c r="G23" s="225" t="n">
        <v>2299.232862648592</v>
      </c>
      <c r="H23" s="240" t="n">
        <v>0</v>
      </c>
    </row>
    <row r="24" ht="14" customHeight="1" s="10">
      <c r="A24" s="219" t="inlineStr">
        <is>
          <t>Gross Margin %</t>
        </is>
      </c>
      <c r="B24" s="220" t="inlineStr">
        <is>
          <t>%</t>
        </is>
      </c>
      <c r="C24" s="231" t="n">
        <v>0.8610000000000001</v>
      </c>
      <c r="D24" s="232" t="n">
        <v>0.8438354924307343</v>
      </c>
      <c r="E24" s="241" t="n"/>
      <c r="F24" s="231" t="n">
        <v>0.8609999999999999</v>
      </c>
      <c r="G24" s="232" t="n">
        <v>0.8439504950495049</v>
      </c>
      <c r="H24" s="241" t="n"/>
    </row>
    <row r="25" ht="14" customHeight="1" s="10">
      <c r="A25" s="160" t="inlineStr">
        <is>
          <t>EBITDA</t>
        </is>
      </c>
      <c r="B25" s="227" t="inlineStr">
        <is>
          <t>$M</t>
        </is>
      </c>
      <c r="C25" s="224" t="n">
        <v>4785.38029277178</v>
      </c>
      <c r="D25" s="225" t="n">
        <v>4785.38029277178</v>
      </c>
      <c r="E25" s="240" t="n">
        <v>0</v>
      </c>
      <c r="F25" s="224" t="n">
        <v>4955.528490905832</v>
      </c>
      <c r="G25" s="225" t="n">
        <v>4955.528490905832</v>
      </c>
      <c r="H25" s="240" t="n">
        <v>0</v>
      </c>
    </row>
    <row r="26" ht="14" customHeight="1" s="10">
      <c r="A26" s="219" t="inlineStr">
        <is>
          <t>EBITDA Margin %</t>
        </is>
      </c>
      <c r="B26" s="220" t="inlineStr">
        <is>
          <t>%</t>
        </is>
      </c>
      <c r="C26" s="231" t="n">
        <v>1.886691291283684</v>
      </c>
      <c r="D26" s="232" t="n">
        <v>1.905558204196521</v>
      </c>
      <c r="E26" s="242" t="n"/>
      <c r="F26" s="231" t="n">
        <v>1.855710267534581</v>
      </c>
      <c r="G26" s="232" t="n">
        <v>1.874267370209927</v>
      </c>
      <c r="H26" s="242" t="n"/>
    </row>
    <row r="27" ht="14" customHeight="1" s="10">
      <c r="A27" s="160" t="inlineStr">
        <is>
          <t>Net Income</t>
        </is>
      </c>
      <c r="B27" s="227" t="inlineStr">
        <is>
          <t>$M</t>
        </is>
      </c>
      <c r="C27" s="224" t="n">
        <v>3776.611049352251</v>
      </c>
      <c r="D27" s="225" t="n">
        <v>3776.611049352251</v>
      </c>
      <c r="E27" s="240" t="n">
        <v>0</v>
      </c>
      <c r="F27" s="224" t="n">
        <v>3912.406269385401</v>
      </c>
      <c r="G27" s="225" t="n">
        <v>3912.406269385401</v>
      </c>
      <c r="H27" s="240" t="n">
        <v>0</v>
      </c>
    </row>
    <row r="29" ht="13" customHeight="1" s="10">
      <c r="A29" s="243" t="inlineStr">
        <is>
          <t>HOW ROLLING FORECAST WORKS IN PRACTICE:</t>
        </is>
      </c>
    </row>
    <row r="30" ht="13" customHeight="1" s="10">
      <c r="A30" s="244" t="inlineStr">
        <is>
          <t>1. LOCK DATE: Each month-end, advance the lock by 1. Columns left of lock = Actuals (immutable).</t>
        </is>
      </c>
    </row>
    <row r="31" ht="13" customHeight="1" s="10">
      <c r="A31" s="244" t="inlineStr">
        <is>
          <t>2. ORIGINAL FC: Base Case from IS sheet — the original annual plan submitted at start of FY.</t>
        </is>
      </c>
    </row>
    <row r="32" ht="13" customHeight="1" s="10">
      <c r="A32" s="244" t="inlineStr">
        <is>
          <t>3. REVISED FC: Mid-year reforecast — Revenue +2% H2-24 (pipeline beat), Payroll -3% (hiring freeze). Adjust REV_ADJ dict to change.</t>
        </is>
      </c>
    </row>
    <row r="33" ht="13" customHeight="1" s="10">
      <c r="A33" s="244" t="inlineStr">
        <is>
          <t>4. HORIZON: Always maintains 18-month forward view. As Dec-25 closes, Jan-26 gets added.</t>
        </is>
      </c>
    </row>
    <row r="34" ht="13" customHeight="1" s="10">
      <c r="A34" s="244" t="inlineStr">
        <is>
          <t>5. WHY CLIENTS PAY FOR THIS: Static budgets go stale by month 3. Rolling Forecast keeps decisions data-current.</t>
        </is>
      </c>
    </row>
  </sheetData>
  <mergeCells count="36">
    <mergeCell ref="BN3:BP3"/>
    <mergeCell ref="A31:N31"/>
    <mergeCell ref="A5:BV5"/>
    <mergeCell ref="A34:N34"/>
    <mergeCell ref="A30:N30"/>
    <mergeCell ref="X3:Z3"/>
    <mergeCell ref="AJ3:AL3"/>
    <mergeCell ref="I3:K3"/>
    <mergeCell ref="U3:W3"/>
    <mergeCell ref="BT3:BV3"/>
    <mergeCell ref="BK3:BM3"/>
    <mergeCell ref="BQ3:BS3"/>
    <mergeCell ref="R3:T3"/>
    <mergeCell ref="AG3:AI3"/>
    <mergeCell ref="AA3:AC3"/>
    <mergeCell ref="A20:I20"/>
    <mergeCell ref="AM3:AO3"/>
    <mergeCell ref="AS3:AU3"/>
    <mergeCell ref="A11:BV11"/>
    <mergeCell ref="A1:BV1"/>
    <mergeCell ref="A2:BV2"/>
    <mergeCell ref="C3:E3"/>
    <mergeCell ref="AD3:AF3"/>
    <mergeCell ref="A33:N33"/>
    <mergeCell ref="AY3:BA3"/>
    <mergeCell ref="BE3:BG3"/>
    <mergeCell ref="A16:BV16"/>
    <mergeCell ref="A32:N32"/>
    <mergeCell ref="AP3:AR3"/>
    <mergeCell ref="O3:Q3"/>
    <mergeCell ref="BB3:BD3"/>
    <mergeCell ref="A29:N29"/>
    <mergeCell ref="AV3:AX3"/>
    <mergeCell ref="F3:H3"/>
    <mergeCell ref="L3:N3"/>
    <mergeCell ref="BH3:BJ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style="10" min="1" max="1"/>
    <col width="16" customWidth="1" style="10" min="2" max="2"/>
    <col width="12" customWidth="1" style="10" min="3" max="3"/>
    <col width="12" customWidth="1" style="10" min="4" max="4"/>
    <col width="12" customWidth="1" style="10" min="5" max="5"/>
    <col width="12" customWidth="1" style="10" min="6" max="6"/>
    <col width="12" customWidth="1" style="10" min="7" max="7"/>
    <col width="12" customWidth="1" style="10" min="8" max="8"/>
    <col width="12" customWidth="1" style="10" min="9" max="9"/>
    <col width="12" customWidth="1" style="10" min="10" max="10"/>
    <col width="12" customWidth="1" style="10" min="11" max="11"/>
    <col width="12" customWidth="1" style="10" min="12" max="12"/>
    <col width="12" customWidth="1" style="10" min="13" max="13"/>
    <col width="12" customWidth="1" style="10" min="14" max="14"/>
    <col width="12" customWidth="1" style="10" min="15" max="15"/>
    <col width="12" customWidth="1" style="10" min="16" max="16"/>
    <col width="12" customWidth="1" style="10" min="17" max="17"/>
    <col width="12" customWidth="1" style="10" min="18" max="18"/>
    <col width="12" customWidth="1" style="10" min="19" max="19"/>
    <col width="12" customWidth="1" style="10" min="20" max="20"/>
    <col width="12" customWidth="1" style="10" min="21" max="21"/>
    <col width="12" customWidth="1" style="10" min="22" max="22"/>
    <col width="12" customWidth="1" style="10" min="23" max="23"/>
    <col width="12" customWidth="1" style="10" min="24" max="24"/>
    <col width="12" customWidth="1" style="10" min="25" max="25"/>
    <col width="12" customWidth="1" style="10" min="26" max="26"/>
  </cols>
  <sheetData>
    <row r="1" ht="24" customHeight="1" s="10">
      <c r="A1" s="147" t="inlineStr">
        <is>
          <t>HubSpot (HUBS) — SaaS KPI Tracker | FY2024–FY2025 | Illustrative</t>
        </is>
      </c>
    </row>
    <row r="2" ht="14" customHeight="1" s="10">
      <c r="A2" s="148" t="inlineStr">
        <is>
          <t>Note: KPIs derived from Revenue, IS, and Headcount schedules. CAC/LTV are illustrative proxies for demo purposes.</t>
        </is>
      </c>
    </row>
    <row r="3" ht="18" customHeight="1" s="10">
      <c r="A3" s="149" t="inlineStr">
        <is>
          <t>KPI Metric</t>
        </is>
      </c>
      <c r="B3" s="179" t="inlineStr">
        <is>
          <t>Unit</t>
        </is>
      </c>
      <c r="C3" s="179" t="inlineStr">
        <is>
          <t>Jan-24</t>
        </is>
      </c>
      <c r="D3" s="179" t="inlineStr">
        <is>
          <t>Feb-24</t>
        </is>
      </c>
      <c r="E3" s="179" t="inlineStr">
        <is>
          <t>Mar-24</t>
        </is>
      </c>
      <c r="F3" s="179" t="inlineStr">
        <is>
          <t>Apr-24</t>
        </is>
      </c>
      <c r="G3" s="179" t="inlineStr">
        <is>
          <t>May-24</t>
        </is>
      </c>
      <c r="H3" s="179" t="inlineStr">
        <is>
          <t>Jun-24</t>
        </is>
      </c>
      <c r="I3" s="179" t="inlineStr">
        <is>
          <t>Jul-24</t>
        </is>
      </c>
      <c r="J3" s="179" t="inlineStr">
        <is>
          <t>Aug-24</t>
        </is>
      </c>
      <c r="K3" s="179" t="inlineStr">
        <is>
          <t>Sep-24</t>
        </is>
      </c>
      <c r="L3" s="179" t="inlineStr">
        <is>
          <t>Oct-24</t>
        </is>
      </c>
      <c r="M3" s="179" t="inlineStr">
        <is>
          <t>Nov-24</t>
        </is>
      </c>
      <c r="N3" s="179" t="inlineStr">
        <is>
          <t>Dec-24</t>
        </is>
      </c>
      <c r="O3" s="179" t="inlineStr">
        <is>
          <t>Jan-25</t>
        </is>
      </c>
      <c r="P3" s="179" t="inlineStr">
        <is>
          <t>Feb-25</t>
        </is>
      </c>
      <c r="Q3" s="179" t="inlineStr">
        <is>
          <t>Mar-25</t>
        </is>
      </c>
      <c r="R3" s="179" t="inlineStr">
        <is>
          <t>Apr-25</t>
        </is>
      </c>
      <c r="S3" s="179" t="inlineStr">
        <is>
          <t>May-25</t>
        </is>
      </c>
      <c r="T3" s="179" t="inlineStr">
        <is>
          <t>Jun-25</t>
        </is>
      </c>
      <c r="U3" s="179" t="inlineStr">
        <is>
          <t>Jul-25</t>
        </is>
      </c>
      <c r="V3" s="179" t="inlineStr">
        <is>
          <t>Aug-25</t>
        </is>
      </c>
      <c r="W3" s="179" t="inlineStr">
        <is>
          <t>Sep-25</t>
        </is>
      </c>
      <c r="X3" s="179" t="inlineStr">
        <is>
          <t>Oct-25</t>
        </is>
      </c>
      <c r="Y3" s="179" t="inlineStr">
        <is>
          <t>Nov-25</t>
        </is>
      </c>
      <c r="Z3" s="179" t="inlineStr">
        <is>
          <t>Dec-25</t>
        </is>
      </c>
    </row>
    <row r="4" ht="16" customHeight="1" s="10">
      <c r="A4" s="180" t="inlineStr">
        <is>
          <t>GROWTH METRICS</t>
        </is>
      </c>
    </row>
    <row r="5" ht="15" customHeight="1" s="10">
      <c r="A5" s="160" t="inlineStr">
        <is>
          <t>ARR (Annualised Run Rate)</t>
        </is>
      </c>
      <c r="B5" s="161" t="inlineStr">
        <is>
          <t>USD $M</t>
        </is>
      </c>
      <c r="C5" s="200" t="n">
        <v>2334.76581807</v>
      </c>
      <c r="D5" s="200" t="n">
        <v>2346.832410016949</v>
      </c>
      <c r="E5" s="200" t="n">
        <v>2358.809904359805</v>
      </c>
      <c r="F5" s="200" t="n">
        <v>2370.699611447321</v>
      </c>
      <c r="G5" s="200" t="n">
        <v>2382.502824324426</v>
      </c>
      <c r="H5" s="200" t="n">
        <v>2394.220818963714</v>
      </c>
      <c r="I5" s="200" t="n">
        <v>2405.854854493837</v>
      </c>
      <c r="J5" s="200" t="n">
        <v>2417.406173424842</v>
      </c>
      <c r="K5" s="200" t="n">
        <v>2428.876001870508</v>
      </c>
      <c r="L5" s="200" t="n">
        <v>2440.265549767708</v>
      </c>
      <c r="M5" s="200" t="n">
        <v>2451.57601109284</v>
      </c>
      <c r="N5" s="200" t="n">
        <v>2462.808564075373</v>
      </c>
      <c r="O5" s="200" t="n">
        <v>2473.964371408532</v>
      </c>
      <c r="P5" s="200" t="n">
        <v>2485.044580457179</v>
      </c>
      <c r="Q5" s="200" t="n">
        <v>2496.050323462912</v>
      </c>
      <c r="R5" s="200" t="n">
        <v>2506.982717746427</v>
      </c>
      <c r="S5" s="200" t="n">
        <v>2517.842865907172</v>
      </c>
      <c r="T5" s="200" t="n">
        <v>2528.631856020346</v>
      </c>
      <c r="U5" s="200" t="n">
        <v>2539.350761831253</v>
      </c>
      <c r="V5" s="200" t="n">
        <v>2550.00064294707</v>
      </c>
      <c r="W5" s="200" t="n">
        <v>2560.582545026054</v>
      </c>
      <c r="X5" s="200" t="n">
        <v>2571.097499964212</v>
      </c>
      <c r="Y5" s="200" t="n">
        <v>2581.546526079491</v>
      </c>
      <c r="Z5" s="200" t="n">
        <v>2591.9306282935</v>
      </c>
    </row>
    <row r="6" ht="15" customHeight="1" s="10">
      <c r="A6" s="153" t="inlineStr">
        <is>
          <t>MRR (Monthly Recurring Rev)</t>
        </is>
      </c>
      <c r="B6" s="154" t="inlineStr">
        <is>
          <t>USD $M</t>
        </is>
      </c>
      <c r="C6" s="201" t="n">
        <v>194.5638181725</v>
      </c>
      <c r="D6" s="201" t="n">
        <v>195.5693675014124</v>
      </c>
      <c r="E6" s="201" t="n">
        <v>196.5674920299838</v>
      </c>
      <c r="F6" s="201" t="n">
        <v>197.5583009539434</v>
      </c>
      <c r="G6" s="201" t="n">
        <v>198.5419020270355</v>
      </c>
      <c r="H6" s="201" t="n">
        <v>199.5184015803096</v>
      </c>
      <c r="I6" s="201" t="n">
        <v>200.4879045411531</v>
      </c>
      <c r="J6" s="201" t="n">
        <v>201.4505144520701</v>
      </c>
      <c r="K6" s="201" t="n">
        <v>202.406333489209</v>
      </c>
      <c r="L6" s="201" t="n">
        <v>203.3554624806424</v>
      </c>
      <c r="M6" s="201" t="n">
        <v>204.2980009244034</v>
      </c>
      <c r="N6" s="201" t="n">
        <v>205.2340470062811</v>
      </c>
      <c r="O6" s="201" t="n">
        <v>206.1636976173777</v>
      </c>
      <c r="P6" s="201" t="n">
        <v>207.0870483714316</v>
      </c>
      <c r="Q6" s="201" t="n">
        <v>208.0041936219093</v>
      </c>
      <c r="R6" s="201" t="n">
        <v>208.9152264788689</v>
      </c>
      <c r="S6" s="201" t="n">
        <v>209.8202388255977</v>
      </c>
      <c r="T6" s="201" t="n">
        <v>210.7193213350288</v>
      </c>
      <c r="U6" s="201" t="n">
        <v>211.6125634859378</v>
      </c>
      <c r="V6" s="201" t="n">
        <v>212.5000535789225</v>
      </c>
      <c r="W6" s="201" t="n">
        <v>213.3818787521711</v>
      </c>
      <c r="X6" s="201" t="n">
        <v>214.2581249970177</v>
      </c>
      <c r="Y6" s="201" t="n">
        <v>215.1288771732909</v>
      </c>
      <c r="Z6" s="201" t="n">
        <v>215.9942190244584</v>
      </c>
    </row>
    <row r="7" ht="15" customHeight="1" s="10">
      <c r="A7" s="160" t="inlineStr">
        <is>
          <t>Total Revenue</t>
        </is>
      </c>
      <c r="B7" s="161" t="inlineStr">
        <is>
          <t>USD $M</t>
        </is>
      </c>
      <c r="C7" s="200" t="n">
        <v>205.9668181725</v>
      </c>
      <c r="D7" s="200" t="n">
        <v>206.9723675014124</v>
      </c>
      <c r="E7" s="200" t="n">
        <v>207.9704920299838</v>
      </c>
      <c r="F7" s="200" t="n">
        <v>208.9613009539434</v>
      </c>
      <c r="G7" s="200" t="n">
        <v>209.9449020270355</v>
      </c>
      <c r="H7" s="200" t="n">
        <v>210.9214015803096</v>
      </c>
      <c r="I7" s="200" t="n">
        <v>211.8909045411531</v>
      </c>
      <c r="J7" s="200" t="n">
        <v>212.8535144520702</v>
      </c>
      <c r="K7" s="200" t="n">
        <v>213.809333489209</v>
      </c>
      <c r="L7" s="200" t="n">
        <v>214.7584624806424</v>
      </c>
      <c r="M7" s="200" t="n">
        <v>215.7010009244034</v>
      </c>
      <c r="N7" s="200" t="n">
        <v>216.6370470062811</v>
      </c>
      <c r="O7" s="200" t="n">
        <v>217.5666976173777</v>
      </c>
      <c r="P7" s="200" t="n">
        <v>218.4900483714316</v>
      </c>
      <c r="Q7" s="200" t="n">
        <v>219.4071936219094</v>
      </c>
      <c r="R7" s="200" t="n">
        <v>220.3182264788689</v>
      </c>
      <c r="S7" s="200" t="n">
        <v>221.2232388255977</v>
      </c>
      <c r="T7" s="200" t="n">
        <v>222.1223213350288</v>
      </c>
      <c r="U7" s="200" t="n">
        <v>223.0155634859377</v>
      </c>
      <c r="V7" s="200" t="n">
        <v>223.9030535789225</v>
      </c>
      <c r="W7" s="200" t="n">
        <v>224.7848787521711</v>
      </c>
      <c r="X7" s="200" t="n">
        <v>225.6611249970177</v>
      </c>
      <c r="Y7" s="200" t="n">
        <v>226.5318771732909</v>
      </c>
      <c r="Z7" s="200" t="n">
        <v>227.3972190244584</v>
      </c>
    </row>
    <row r="8" ht="15" customHeight="1" s="10">
      <c r="A8" s="153" t="inlineStr">
        <is>
          <t>MoM Revenue Growth</t>
        </is>
      </c>
      <c r="B8" s="154" t="inlineStr">
        <is>
          <t>%</t>
        </is>
      </c>
      <c r="C8" s="183" t="inlineStr">
        <is>
          <t>-</t>
        </is>
      </c>
      <c r="D8" s="183" t="n">
        <v>0.004882093814112407</v>
      </c>
      <c r="E8" s="183" t="n">
        <v>0.004822501383256322</v>
      </c>
      <c r="F8" s="183" t="n">
        <v>0.004764180313699477</v>
      </c>
      <c r="G8" s="183" t="n">
        <v>0.004707096809800661</v>
      </c>
      <c r="H8" s="183" t="n">
        <v>0.004651218218903392</v>
      </c>
      <c r="I8" s="183" t="n">
        <v>0.004596512983412731</v>
      </c>
      <c r="J8" s="183" t="n">
        <v>0.004542950595267845</v>
      </c>
      <c r="K8" s="183" t="n">
        <v>0.004490501552672641</v>
      </c>
      <c r="L8" s="183" t="n">
        <v>0.004439137318957383</v>
      </c>
      <c r="M8" s="183" t="n">
        <v>0.004388830283444493</v>
      </c>
      <c r="N8" s="183" t="n">
        <v>0.004339553724211942</v>
      </c>
      <c r="O8" s="183" t="n">
        <v>0.004291281772639779</v>
      </c>
      <c r="P8" s="183" t="n">
        <v>0.004243989379651134</v>
      </c>
      <c r="Q8" s="183" t="n">
        <v>0.004197652283543003</v>
      </c>
      <c r="R8" s="183" t="n">
        <v>0.004152246979328525</v>
      </c>
      <c r="S8" s="183" t="n">
        <v>0.004107750689503681</v>
      </c>
      <c r="T8" s="183" t="n">
        <v>0.004064141336163825</v>
      </c>
      <c r="U8" s="183" t="n">
        <v>0.004021397514397632</v>
      </c>
      <c r="V8" s="183" t="n">
        <v>0.003979498466889537</v>
      </c>
      <c r="W8" s="183" t="n">
        <v>0.003938424059669015</v>
      </c>
      <c r="X8" s="183" t="n">
        <v>0.003898154758944431</v>
      </c>
      <c r="Y8" s="183" t="n">
        <v>0.00385867160896572</v>
      </c>
      <c r="Z8" s="183" t="n">
        <v>0.003819956210866988</v>
      </c>
    </row>
    <row r="9" ht="16" customHeight="1" s="10">
      <c r="A9" s="180" t="inlineStr">
        <is>
          <t>CUSTOMER METRICS</t>
        </is>
      </c>
    </row>
    <row r="10" ht="15" customHeight="1" s="10">
      <c r="A10" s="153" t="inlineStr">
        <is>
          <t>Ending Customers</t>
        </is>
      </c>
      <c r="B10" s="154" t="n"/>
      <c r="C10" s="202" t="n">
        <v>205814.635</v>
      </c>
      <c r="D10" s="202" t="n">
        <v>206527.415475</v>
      </c>
      <c r="E10" s="202" t="n">
        <v>207229.504242875</v>
      </c>
      <c r="F10" s="202" t="n">
        <v>207921.0616792319</v>
      </c>
      <c r="G10" s="202" t="n">
        <v>208602.2457540434</v>
      </c>
      <c r="H10" s="202" t="n">
        <v>209273.2120677327</v>
      </c>
      <c r="I10" s="202" t="n">
        <v>209934.1138867167</v>
      </c>
      <c r="J10" s="202" t="n">
        <v>210585.102178416</v>
      </c>
      <c r="K10" s="202" t="n">
        <v>211226.3256457397</v>
      </c>
      <c r="L10" s="202" t="n">
        <v>211857.9307610536</v>
      </c>
      <c r="M10" s="202" t="n">
        <v>212480.0617996378</v>
      </c>
      <c r="N10" s="202" t="n">
        <v>213092.8608726433</v>
      </c>
      <c r="O10" s="202" t="n">
        <v>213696.4679595536</v>
      </c>
      <c r="P10" s="202" t="n">
        <v>214291.0209401603</v>
      </c>
      <c r="Q10" s="202" t="n">
        <v>214876.6556260579</v>
      </c>
      <c r="R10" s="202" t="n">
        <v>215453.505791667</v>
      </c>
      <c r="S10" s="202" t="n">
        <v>216021.703204792</v>
      </c>
      <c r="T10" s="202" t="n">
        <v>216581.3776567201</v>
      </c>
      <c r="U10" s="202" t="n">
        <v>217132.6569918693</v>
      </c>
      <c r="V10" s="202" t="n">
        <v>217675.6671369913</v>
      </c>
      <c r="W10" s="202" t="n">
        <v>218210.5321299364</v>
      </c>
      <c r="X10" s="202" t="n">
        <v>218737.3741479874</v>
      </c>
      <c r="Y10" s="202" t="n">
        <v>219256.3135357675</v>
      </c>
      <c r="Z10" s="202" t="n">
        <v>219767.468832731</v>
      </c>
    </row>
    <row r="11" ht="15" customHeight="1" s="10">
      <c r="A11" s="160" t="inlineStr">
        <is>
          <t>New Customers Added</t>
        </is>
      </c>
      <c r="B11" s="161" t="n"/>
      <c r="C11" s="203" t="n">
        <v>3800</v>
      </c>
      <c r="D11" s="203" t="n">
        <v>3800</v>
      </c>
      <c r="E11" s="203" t="n">
        <v>3800</v>
      </c>
      <c r="F11" s="203" t="n">
        <v>3800</v>
      </c>
      <c r="G11" s="203" t="n">
        <v>3800</v>
      </c>
      <c r="H11" s="203" t="n">
        <v>3800</v>
      </c>
      <c r="I11" s="203" t="n">
        <v>3800</v>
      </c>
      <c r="J11" s="203" t="n">
        <v>3800</v>
      </c>
      <c r="K11" s="203" t="n">
        <v>3800</v>
      </c>
      <c r="L11" s="203" t="n">
        <v>3800</v>
      </c>
      <c r="M11" s="203" t="n">
        <v>3800</v>
      </c>
      <c r="N11" s="203" t="n">
        <v>3800</v>
      </c>
      <c r="O11" s="203" t="n">
        <v>3800</v>
      </c>
      <c r="P11" s="203" t="n">
        <v>3800</v>
      </c>
      <c r="Q11" s="203" t="n">
        <v>3800</v>
      </c>
      <c r="R11" s="203" t="n">
        <v>3800</v>
      </c>
      <c r="S11" s="203" t="n">
        <v>3800</v>
      </c>
      <c r="T11" s="203" t="n">
        <v>3800</v>
      </c>
      <c r="U11" s="203" t="n">
        <v>3800</v>
      </c>
      <c r="V11" s="203" t="n">
        <v>3800</v>
      </c>
      <c r="W11" s="203" t="n">
        <v>3800</v>
      </c>
      <c r="X11" s="203" t="n">
        <v>3800</v>
      </c>
      <c r="Y11" s="203" t="n">
        <v>3800</v>
      </c>
      <c r="Z11" s="203" t="n">
        <v>3800</v>
      </c>
    </row>
    <row r="12" ht="15" customHeight="1" s="10">
      <c r="A12" s="153" t="inlineStr">
        <is>
          <t>Churned Customers</t>
        </is>
      </c>
      <c r="B12" s="154" t="n"/>
      <c r="C12" s="202" t="n">
        <v>3076.365</v>
      </c>
      <c r="D12" s="202" t="n">
        <v>3087.219525</v>
      </c>
      <c r="E12" s="202" t="n">
        <v>3097.911232125</v>
      </c>
      <c r="F12" s="202" t="n">
        <v>3108.442563643125</v>
      </c>
      <c r="G12" s="202" t="n">
        <v>3118.815925188478</v>
      </c>
      <c r="H12" s="202" t="n">
        <v>3129.033686310651</v>
      </c>
      <c r="I12" s="202" t="n">
        <v>3139.098181015991</v>
      </c>
      <c r="J12" s="202" t="n">
        <v>3149.011708300751</v>
      </c>
      <c r="K12" s="202" t="n">
        <v>3158.77653267624</v>
      </c>
      <c r="L12" s="202" t="n">
        <v>3168.394884686096</v>
      </c>
      <c r="M12" s="202" t="n">
        <v>3177.868961415804</v>
      </c>
      <c r="N12" s="202" t="n">
        <v>3187.200926994567</v>
      </c>
      <c r="O12" s="202" t="n">
        <v>3196.392913089649</v>
      </c>
      <c r="P12" s="202" t="n">
        <v>3205.447019393304</v>
      </c>
      <c r="Q12" s="202" t="n">
        <v>3214.365314102405</v>
      </c>
      <c r="R12" s="202" t="n">
        <v>3223.149834390868</v>
      </c>
      <c r="S12" s="202" t="n">
        <v>3231.802586875006</v>
      </c>
      <c r="T12" s="202" t="n">
        <v>3240.32554807188</v>
      </c>
      <c r="U12" s="202" t="n">
        <v>3248.720664850802</v>
      </c>
      <c r="V12" s="202" t="n">
        <v>3256.98985487804</v>
      </c>
      <c r="W12" s="202" t="n">
        <v>3265.135007054869</v>
      </c>
      <c r="X12" s="202" t="n">
        <v>3273.157981949046</v>
      </c>
      <c r="Y12" s="202" t="n">
        <v>3281.060612219811</v>
      </c>
      <c r="Z12" s="202" t="n">
        <v>3288.844703036513</v>
      </c>
    </row>
    <row r="13" ht="15" customHeight="1" s="10">
      <c r="A13" s="160" t="inlineStr">
        <is>
          <t>Monthly Churn Rate</t>
        </is>
      </c>
      <c r="B13" s="161" t="inlineStr">
        <is>
          <t>%</t>
        </is>
      </c>
      <c r="C13" s="158" t="n">
        <v>0.015</v>
      </c>
      <c r="D13" s="158" t="n">
        <v>0.015</v>
      </c>
      <c r="E13" s="158" t="n">
        <v>0.015</v>
      </c>
      <c r="F13" s="158" t="n">
        <v>0.015</v>
      </c>
      <c r="G13" s="158" t="n">
        <v>0.015</v>
      </c>
      <c r="H13" s="158" t="n">
        <v>0.015</v>
      </c>
      <c r="I13" s="158" t="n">
        <v>0.015</v>
      </c>
      <c r="J13" s="158" t="n">
        <v>0.015</v>
      </c>
      <c r="K13" s="158" t="n">
        <v>0.015</v>
      </c>
      <c r="L13" s="158" t="n">
        <v>0.015</v>
      </c>
      <c r="M13" s="158" t="n">
        <v>0.015</v>
      </c>
      <c r="N13" s="158" t="n">
        <v>0.015</v>
      </c>
      <c r="O13" s="158" t="n">
        <v>0.015</v>
      </c>
      <c r="P13" s="158" t="n">
        <v>0.015</v>
      </c>
      <c r="Q13" s="158" t="n">
        <v>0.015</v>
      </c>
      <c r="R13" s="158" t="n">
        <v>0.015</v>
      </c>
      <c r="S13" s="158" t="n">
        <v>0.015</v>
      </c>
      <c r="T13" s="158" t="n">
        <v>0.015</v>
      </c>
      <c r="U13" s="158" t="n">
        <v>0.015</v>
      </c>
      <c r="V13" s="158" t="n">
        <v>0.015</v>
      </c>
      <c r="W13" s="158" t="n">
        <v>0.015</v>
      </c>
      <c r="X13" s="158" t="n">
        <v>0.015</v>
      </c>
      <c r="Y13" s="158" t="n">
        <v>0.015</v>
      </c>
      <c r="Z13" s="158" t="n">
        <v>0.015</v>
      </c>
    </row>
    <row r="14" ht="15" customHeight="1" s="10">
      <c r="A14" s="153" t="inlineStr">
        <is>
          <t>Net Revenue Retention (NRR)</t>
        </is>
      </c>
      <c r="B14" s="154" t="inlineStr">
        <is>
          <t>%</t>
        </is>
      </c>
      <c r="C14" s="159" t="n">
        <v>0.985</v>
      </c>
      <c r="D14" s="159" t="n">
        <v>0.9866416666666668</v>
      </c>
      <c r="E14" s="159" t="n">
        <v>0.9866416666666666</v>
      </c>
      <c r="F14" s="159" t="n">
        <v>0.9866416666666666</v>
      </c>
      <c r="G14" s="159" t="n">
        <v>0.9866416666666666</v>
      </c>
      <c r="H14" s="159" t="n">
        <v>0.9866416666666666</v>
      </c>
      <c r="I14" s="159" t="n">
        <v>0.9866416666666668</v>
      </c>
      <c r="J14" s="159" t="n">
        <v>0.9866416666666666</v>
      </c>
      <c r="K14" s="159" t="n">
        <v>0.9866416666666666</v>
      </c>
      <c r="L14" s="159" t="n">
        <v>0.9866416666666666</v>
      </c>
      <c r="M14" s="159" t="n">
        <v>0.9866416666666666</v>
      </c>
      <c r="N14" s="159" t="n">
        <v>0.9866416666666668</v>
      </c>
      <c r="O14" s="159" t="n">
        <v>0.9866416666666668</v>
      </c>
      <c r="P14" s="159" t="n">
        <v>0.9866416666666666</v>
      </c>
      <c r="Q14" s="159" t="n">
        <v>0.9866416666666668</v>
      </c>
      <c r="R14" s="159" t="n">
        <v>0.9866416666666666</v>
      </c>
      <c r="S14" s="159" t="n">
        <v>0.9866416666666666</v>
      </c>
      <c r="T14" s="159" t="n">
        <v>0.9866416666666666</v>
      </c>
      <c r="U14" s="159" t="n">
        <v>0.9866416666666666</v>
      </c>
      <c r="V14" s="159" t="n">
        <v>0.9866416666666666</v>
      </c>
      <c r="W14" s="159" t="n">
        <v>0.9866416666666668</v>
      </c>
      <c r="X14" s="159" t="n">
        <v>0.9866416666666666</v>
      </c>
      <c r="Y14" s="159" t="n">
        <v>0.9866416666666666</v>
      </c>
      <c r="Z14" s="159" t="n">
        <v>0.9866416666666668</v>
      </c>
    </row>
    <row r="15" ht="15" customHeight="1" s="10">
      <c r="A15" s="160" t="inlineStr">
        <is>
          <t>ARPU (Avg Revenue / Customer)</t>
        </is>
      </c>
      <c r="B15" s="161" t="inlineStr">
        <is>
          <t>USD</t>
        </is>
      </c>
      <c r="C15" s="203" t="n">
        <v>947</v>
      </c>
      <c r="D15" s="203" t="n">
        <v>948.5783333333334</v>
      </c>
      <c r="E15" s="203" t="n">
        <v>950.1592972222223</v>
      </c>
      <c r="F15" s="203" t="n">
        <v>951.7428960509261</v>
      </c>
      <c r="G15" s="203" t="n">
        <v>953.329134211011</v>
      </c>
      <c r="H15" s="203" t="n">
        <v>954.9180161013627</v>
      </c>
      <c r="I15" s="203" t="n">
        <v>956.5095461281983</v>
      </c>
      <c r="J15" s="203" t="n">
        <v>958.1037287050787</v>
      </c>
      <c r="K15" s="203" t="n">
        <v>959.7005682529204</v>
      </c>
      <c r="L15" s="203" t="n">
        <v>961.3000692000087</v>
      </c>
      <c r="M15" s="203" t="n">
        <v>962.9022359820087</v>
      </c>
      <c r="N15" s="203" t="n">
        <v>964.5070730419787</v>
      </c>
      <c r="O15" s="203" t="n">
        <v>966.1145848303821</v>
      </c>
      <c r="P15" s="203" t="n">
        <v>967.7247758050994</v>
      </c>
      <c r="Q15" s="203" t="n">
        <v>969.3376504314413</v>
      </c>
      <c r="R15" s="203" t="n">
        <v>970.9532131821603</v>
      </c>
      <c r="S15" s="203" t="n">
        <v>972.5714685374639</v>
      </c>
      <c r="T15" s="203" t="n">
        <v>974.1924209850264</v>
      </c>
      <c r="U15" s="203" t="n">
        <v>975.8160750200014</v>
      </c>
      <c r="V15" s="203" t="n">
        <v>977.4424351450348</v>
      </c>
      <c r="W15" s="203" t="n">
        <v>979.0715058702765</v>
      </c>
      <c r="X15" s="203" t="n">
        <v>980.7032917133937</v>
      </c>
      <c r="Y15" s="203" t="n">
        <v>982.3377971995827</v>
      </c>
      <c r="Z15" s="203" t="n">
        <v>983.975026861582</v>
      </c>
    </row>
    <row r="16" ht="16" customHeight="1" s="10">
      <c r="A16" s="180" t="inlineStr">
        <is>
          <t>PROFITABILITY METRICS</t>
        </is>
      </c>
    </row>
    <row r="17" ht="15" customHeight="1" s="10">
      <c r="A17" s="160" t="inlineStr">
        <is>
          <t>Gross Profit</t>
        </is>
      </c>
      <c r="B17" s="161" t="inlineStr">
        <is>
          <t>USD $M</t>
        </is>
      </c>
      <c r="C17" s="200" t="n">
        <v>177.3374304465225</v>
      </c>
      <c r="D17" s="200" t="n">
        <v>178.2032084187161</v>
      </c>
      <c r="E17" s="200" t="n">
        <v>179.062593637816</v>
      </c>
      <c r="F17" s="200" t="n">
        <v>179.9156801213453</v>
      </c>
      <c r="G17" s="200" t="n">
        <v>180.7625606452776</v>
      </c>
      <c r="H17" s="200" t="n">
        <v>181.6033267606465</v>
      </c>
      <c r="I17" s="200" t="n">
        <v>182.4380688099328</v>
      </c>
      <c r="J17" s="200" t="n">
        <v>183.2668759432324</v>
      </c>
      <c r="K17" s="200" t="n">
        <v>184.089836134209</v>
      </c>
      <c r="L17" s="200" t="n">
        <v>184.9070361958331</v>
      </c>
      <c r="M17" s="200" t="n">
        <v>185.7185617959113</v>
      </c>
      <c r="N17" s="200" t="n">
        <v>186.524497472408</v>
      </c>
      <c r="O17" s="200" t="n">
        <v>187.3249266485622</v>
      </c>
      <c r="P17" s="200" t="n">
        <v>188.1199316478026</v>
      </c>
      <c r="Q17" s="200" t="n">
        <v>188.9095937084639</v>
      </c>
      <c r="R17" s="200" t="n">
        <v>189.6939929983061</v>
      </c>
      <c r="S17" s="200" t="n">
        <v>190.4732086288396</v>
      </c>
      <c r="T17" s="200" t="n">
        <v>191.2473186694598</v>
      </c>
      <c r="U17" s="200" t="n">
        <v>192.0164001613924</v>
      </c>
      <c r="V17" s="200" t="n">
        <v>192.7805291314523</v>
      </c>
      <c r="W17" s="200" t="n">
        <v>193.5397806056193</v>
      </c>
      <c r="X17" s="200" t="n">
        <v>194.2942286224322</v>
      </c>
      <c r="Y17" s="200" t="n">
        <v>195.0439462462035</v>
      </c>
      <c r="Z17" s="200" t="n">
        <v>195.7890055800587</v>
      </c>
    </row>
    <row r="18" ht="15" customHeight="1" s="10">
      <c r="A18" s="153" t="inlineStr">
        <is>
          <t>Gross Margin %</t>
        </is>
      </c>
      <c r="B18" s="154" t="inlineStr">
        <is>
          <t>%</t>
        </is>
      </c>
      <c r="C18" s="183" t="n">
        <v>0.861</v>
      </c>
      <c r="D18" s="183" t="n">
        <v>0.861</v>
      </c>
      <c r="E18" s="183" t="n">
        <v>0.861</v>
      </c>
      <c r="F18" s="183" t="n">
        <v>0.861</v>
      </c>
      <c r="G18" s="183" t="n">
        <v>0.861</v>
      </c>
      <c r="H18" s="183" t="n">
        <v>0.8609999999999999</v>
      </c>
      <c r="I18" s="183" t="n">
        <v>0.861</v>
      </c>
      <c r="J18" s="183" t="n">
        <v>0.861</v>
      </c>
      <c r="K18" s="183" t="n">
        <v>0.861</v>
      </c>
      <c r="L18" s="183" t="n">
        <v>0.861</v>
      </c>
      <c r="M18" s="183" t="n">
        <v>0.8610000000000001</v>
      </c>
      <c r="N18" s="183" t="n">
        <v>0.861</v>
      </c>
      <c r="O18" s="183" t="n">
        <v>0.861</v>
      </c>
      <c r="P18" s="183" t="n">
        <v>0.861</v>
      </c>
      <c r="Q18" s="183" t="n">
        <v>0.861</v>
      </c>
      <c r="R18" s="183" t="n">
        <v>0.861</v>
      </c>
      <c r="S18" s="183" t="n">
        <v>0.861</v>
      </c>
      <c r="T18" s="183" t="n">
        <v>0.861</v>
      </c>
      <c r="U18" s="183" t="n">
        <v>0.861</v>
      </c>
      <c r="V18" s="183" t="n">
        <v>0.861</v>
      </c>
      <c r="W18" s="183" t="n">
        <v>0.861</v>
      </c>
      <c r="X18" s="183" t="n">
        <v>0.861</v>
      </c>
      <c r="Y18" s="183" t="n">
        <v>0.8610000000000001</v>
      </c>
      <c r="Z18" s="183" t="n">
        <v>0.861</v>
      </c>
    </row>
    <row r="19" ht="15" customHeight="1" s="10">
      <c r="A19" s="160" t="inlineStr">
        <is>
          <t>EBITDA (Monthly)</t>
        </is>
      </c>
      <c r="B19" s="161" t="inlineStr">
        <is>
          <t>USD $M</t>
        </is>
      </c>
      <c r="C19" s="200" t="n">
        <v>276.8437486292725</v>
      </c>
      <c r="D19" s="200" t="n">
        <v>408.5327230393024</v>
      </c>
      <c r="E19" s="200" t="n">
        <v>408.7905727662427</v>
      </c>
      <c r="F19" s="200" t="n">
        <v>409.0550055911334</v>
      </c>
      <c r="G19" s="200" t="n">
        <v>409.3305204166231</v>
      </c>
      <c r="H19" s="200" t="n">
        <v>409.5958661600413</v>
      </c>
      <c r="I19" s="200" t="n">
        <v>409.858541753202</v>
      </c>
      <c r="J19" s="200" t="n">
        <v>410.1315461422081</v>
      </c>
      <c r="K19" s="200" t="n">
        <v>410.4118782872624</v>
      </c>
      <c r="L19" s="200" t="n">
        <v>410.6765371624813</v>
      </c>
      <c r="M19" s="200" t="n">
        <v>410.939521755703</v>
      </c>
      <c r="N19" s="200" t="n">
        <v>411.2138310683079</v>
      </c>
      <c r="O19" s="200" t="n">
        <v>411.4899641150446</v>
      </c>
      <c r="P19" s="200" t="n">
        <v>411.7604199238348</v>
      </c>
      <c r="Q19" s="200" t="n">
        <v>412.014697535613</v>
      </c>
      <c r="R19" s="200" t="n">
        <v>412.2792960041466</v>
      </c>
      <c r="S19" s="200" t="n">
        <v>412.5557143958607</v>
      </c>
      <c r="T19" s="200" t="n">
        <v>412.8257017896776</v>
      </c>
      <c r="U19" s="200" t="n">
        <v>413.0892572768412</v>
      </c>
      <c r="V19" s="200" t="n">
        <v>413.3593799607611</v>
      </c>
      <c r="W19" s="200" t="n">
        <v>413.6405689568434</v>
      </c>
      <c r="X19" s="200" t="n">
        <v>413.9023233923292</v>
      </c>
      <c r="Y19" s="200" t="n">
        <v>414.1661424061432</v>
      </c>
      <c r="Z19" s="200" t="n">
        <v>414.4450251487369</v>
      </c>
    </row>
    <row r="20" ht="15" customHeight="1" s="10">
      <c r="A20" s="153" t="inlineStr">
        <is>
          <t>EBITDA Margin %</t>
        </is>
      </c>
      <c r="B20" s="154" t="inlineStr">
        <is>
          <t>%</t>
        </is>
      </c>
      <c r="C20" s="183" t="n">
        <v>1.34411819867709</v>
      </c>
      <c r="D20" s="183" t="n">
        <v>1.973851524100262</v>
      </c>
      <c r="E20" s="183" t="n">
        <v>1.965618145036201</v>
      </c>
      <c r="F20" s="183" t="n">
        <v>1.957563451814899</v>
      </c>
      <c r="G20" s="183" t="n">
        <v>1.949704500869051</v>
      </c>
      <c r="H20" s="183" t="n">
        <v>1.941936015459699</v>
      </c>
      <c r="I20" s="183" t="n">
        <v>1.934290396469566</v>
      </c>
      <c r="J20" s="183" t="n">
        <v>1.926825343701621</v>
      </c>
      <c r="K20" s="183" t="n">
        <v>1.919522742948806</v>
      </c>
      <c r="L20" s="183" t="n">
        <v>1.912271732712272</v>
      </c>
      <c r="M20" s="183" t="n">
        <v>1.90513497848684</v>
      </c>
      <c r="N20" s="183" t="n">
        <v>1.898169480940096</v>
      </c>
      <c r="O20" s="183" t="n">
        <v>1.891327894486448</v>
      </c>
      <c r="P20" s="183" t="n">
        <v>1.884572880975544</v>
      </c>
      <c r="Q20" s="183" t="n">
        <v>1.877854097371174</v>
      </c>
      <c r="R20" s="183" t="n">
        <v>1.871290008971133</v>
      </c>
      <c r="S20" s="183" t="n">
        <v>1.864884162197358</v>
      </c>
      <c r="T20" s="183" t="n">
        <v>1.858551177155264</v>
      </c>
      <c r="U20" s="183" t="n">
        <v>1.852288920198561</v>
      </c>
      <c r="V20" s="183" t="n">
        <v>1.846153383589554</v>
      </c>
      <c r="W20" s="183" t="n">
        <v>1.84016189724616</v>
      </c>
      <c r="X20" s="183" t="n">
        <v>1.83417645993655</v>
      </c>
      <c r="Y20" s="183" t="n">
        <v>1.828290779974056</v>
      </c>
      <c r="Z20" s="183" t="n">
        <v>1.822559778552789</v>
      </c>
    </row>
    <row r="21" ht="16" customHeight="1" s="10">
      <c r="A21" s="180" t="inlineStr">
        <is>
          <t>UNIT ECONOMICS</t>
        </is>
      </c>
    </row>
    <row r="22" ht="15" customHeight="1" s="10">
      <c r="A22" s="153" t="inlineStr">
        <is>
          <t>CAC (Customer Acq. Cost)</t>
        </is>
      </c>
      <c r="B22" s="154" t="inlineStr">
        <is>
          <t>USD</t>
        </is>
      </c>
      <c r="C22" s="202" t="n">
        <v>13484.52631578947</v>
      </c>
      <c r="D22" s="202" t="n">
        <v>42922.89473684211</v>
      </c>
      <c r="E22" s="202" t="n">
        <v>42950.63157894737</v>
      </c>
      <c r="F22" s="202" t="n">
        <v>42979.05263157895</v>
      </c>
      <c r="G22" s="202" t="n">
        <v>43008.63157894737</v>
      </c>
      <c r="H22" s="202" t="n">
        <v>43037.13157894737</v>
      </c>
      <c r="I22" s="202" t="n">
        <v>43065.34210526316</v>
      </c>
      <c r="J22" s="202" t="n">
        <v>43094.63157894737</v>
      </c>
      <c r="K22" s="202" t="n">
        <v>43124.68421052631</v>
      </c>
      <c r="L22" s="202" t="n">
        <v>43153.07894736842</v>
      </c>
      <c r="M22" s="202" t="n">
        <v>43181.28947368421</v>
      </c>
      <c r="N22" s="202" t="n">
        <v>43210.68421052631</v>
      </c>
      <c r="O22" s="202" t="n">
        <v>43240.26315789474</v>
      </c>
      <c r="P22" s="202" t="n">
        <v>43269.23684210526</v>
      </c>
      <c r="Q22" s="202" t="n">
        <v>43296.5</v>
      </c>
      <c r="R22" s="202" t="n">
        <v>43324.84210526316</v>
      </c>
      <c r="S22" s="202" t="n">
        <v>43354.42105263158</v>
      </c>
      <c r="T22" s="202" t="n">
        <v>43383.31578947369</v>
      </c>
      <c r="U22" s="202" t="n">
        <v>43411.52631578947</v>
      </c>
      <c r="V22" s="202" t="n">
        <v>43440.42105263158</v>
      </c>
      <c r="W22" s="202" t="n">
        <v>43470.47368421053</v>
      </c>
      <c r="X22" s="202" t="n">
        <v>43498.47368421053</v>
      </c>
      <c r="Y22" s="202" t="n">
        <v>43526.68421052631</v>
      </c>
      <c r="Z22" s="202" t="n">
        <v>43556.47368421053</v>
      </c>
    </row>
    <row r="23" ht="15" customHeight="1" s="10">
      <c r="A23" s="160" t="inlineStr">
        <is>
          <t>LTV (Lifetime Value)</t>
        </is>
      </c>
      <c r="B23" s="161" t="inlineStr">
        <is>
          <t>USD</t>
        </is>
      </c>
      <c r="C23" s="203" t="n">
        <v>54357.8</v>
      </c>
      <c r="D23" s="203" t="n">
        <v>54448.39633333334</v>
      </c>
      <c r="E23" s="203" t="n">
        <v>54539.14366055556</v>
      </c>
      <c r="F23" s="203" t="n">
        <v>54630.04223332316</v>
      </c>
      <c r="G23" s="203" t="n">
        <v>54721.09230371203</v>
      </c>
      <c r="H23" s="203" t="n">
        <v>54812.29412421821</v>
      </c>
      <c r="I23" s="203" t="n">
        <v>54903.64794775859</v>
      </c>
      <c r="J23" s="203" t="n">
        <v>54995.15402767152</v>
      </c>
      <c r="K23" s="203" t="n">
        <v>55086.81261771764</v>
      </c>
      <c r="L23" s="203" t="n">
        <v>55178.6239720805</v>
      </c>
      <c r="M23" s="203" t="n">
        <v>55270.58834536732</v>
      </c>
      <c r="N23" s="203" t="n">
        <v>55362.70599260958</v>
      </c>
      <c r="O23" s="203" t="n">
        <v>55454.97716926394</v>
      </c>
      <c r="P23" s="203" t="n">
        <v>55547.40213121271</v>
      </c>
      <c r="Q23" s="203" t="n">
        <v>55639.98113476473</v>
      </c>
      <c r="R23" s="203" t="n">
        <v>55732.71443665601</v>
      </c>
      <c r="S23" s="203" t="n">
        <v>55825.60229405043</v>
      </c>
      <c r="T23" s="203" t="n">
        <v>55918.64496454052</v>
      </c>
      <c r="U23" s="203" t="n">
        <v>56011.84270614808</v>
      </c>
      <c r="V23" s="203" t="n">
        <v>56105.195777325</v>
      </c>
      <c r="W23" s="203" t="n">
        <v>56198.70443695388</v>
      </c>
      <c r="X23" s="203" t="n">
        <v>56292.3689443488</v>
      </c>
      <c r="Y23" s="203" t="n">
        <v>56386.18955925606</v>
      </c>
      <c r="Z23" s="203" t="n">
        <v>56480.16654185481</v>
      </c>
    </row>
    <row r="24" ht="15" customHeight="1" s="10">
      <c r="A24" s="153" t="inlineStr">
        <is>
          <t>LTV / CAC Ratio</t>
        </is>
      </c>
      <c r="B24" s="154" t="inlineStr">
        <is>
          <t>x</t>
        </is>
      </c>
      <c r="C24" s="186" t="n">
        <v>4.031124173516623</v>
      </c>
      <c r="D24" s="187" t="n">
        <v>1.268516409882265</v>
      </c>
      <c r="E24" s="187" t="n">
        <v>1.269810050646343</v>
      </c>
      <c r="F24" s="187" t="n">
        <v>1.271085305244342</v>
      </c>
      <c r="G24" s="187" t="n">
        <v>1.272328141928094</v>
      </c>
      <c r="H24" s="187" t="n">
        <v>1.273604724879735</v>
      </c>
      <c r="I24" s="187" t="n">
        <v>1.274891717185468</v>
      </c>
      <c r="J24" s="187" t="n">
        <v>1.276148606281108</v>
      </c>
      <c r="K24" s="187" t="n">
        <v>1.277384718895437</v>
      </c>
      <c r="L24" s="187" t="n">
        <v>1.278671773093619</v>
      </c>
      <c r="M24" s="187" t="n">
        <v>1.279966138552917</v>
      </c>
      <c r="N24" s="187" t="n">
        <v>1.281227247476053</v>
      </c>
      <c r="O24" s="187" t="n">
        <v>1.282484728799322</v>
      </c>
      <c r="P24" s="187" t="n">
        <v>1.283762002410904</v>
      </c>
      <c r="Q24" s="187" t="n">
        <v>1.285091892757261</v>
      </c>
      <c r="R24" s="187" t="n">
        <v>1.286391634186372</v>
      </c>
      <c r="S24" s="187" t="n">
        <v>1.287656505118106</v>
      </c>
      <c r="T24" s="187" t="n">
        <v>1.288943547696932</v>
      </c>
      <c r="U24" s="187" t="n">
        <v>1.290252784449453</v>
      </c>
      <c r="V24" s="187" t="n">
        <v>1.291543553625988</v>
      </c>
      <c r="W24" s="187" t="n">
        <v>1.292801749647521</v>
      </c>
      <c r="X24" s="187" t="n">
        <v>1.294122854815991</v>
      </c>
      <c r="Y24" s="187" t="n">
        <v>1.295439581074725</v>
      </c>
      <c r="Z24" s="187" t="n">
        <v>1.296711183539387</v>
      </c>
    </row>
    <row r="25" ht="15" customHeight="1" s="10">
      <c r="A25" s="160" t="inlineStr">
        <is>
          <t>CAC Payback Period</t>
        </is>
      </c>
      <c r="B25" s="161" t="inlineStr">
        <is>
          <t>months</t>
        </is>
      </c>
      <c r="C25" s="188" t="n">
        <v>16.53798389656372</v>
      </c>
      <c r="D25" s="188" t="n">
        <v>52.5548318865297</v>
      </c>
      <c r="E25" s="188" t="n">
        <v>52.50129075032351</v>
      </c>
      <c r="F25" s="188" t="n">
        <v>52.44861724984797</v>
      </c>
      <c r="G25" s="188" t="n">
        <v>52.39738434586506</v>
      </c>
      <c r="H25" s="188" t="n">
        <v>52.34486443426309</v>
      </c>
      <c r="I25" s="188" t="n">
        <v>52.29202274044437</v>
      </c>
      <c r="J25" s="188" t="n">
        <v>52.24051990382492</v>
      </c>
      <c r="K25" s="188" t="n">
        <v>52.18996726711573</v>
      </c>
      <c r="L25" s="188" t="n">
        <v>52.13743516475171</v>
      </c>
      <c r="M25" s="188" t="n">
        <v>52.08471119559269</v>
      </c>
      <c r="N25" s="188" t="n">
        <v>52.03344433861854</v>
      </c>
      <c r="O25" s="188" t="n">
        <v>51.98242534168873</v>
      </c>
      <c r="P25" s="188" t="n">
        <v>51.93070564595831</v>
      </c>
      <c r="Q25" s="188" t="n">
        <v>51.87696462984321</v>
      </c>
      <c r="R25" s="188" t="n">
        <v>51.82454930129624</v>
      </c>
      <c r="S25" s="188" t="n">
        <v>51.77364180717736</v>
      </c>
      <c r="T25" s="188" t="n">
        <v>51.72194452254007</v>
      </c>
      <c r="U25" s="188" t="n">
        <v>51.66946157385207</v>
      </c>
      <c r="V25" s="188" t="n">
        <v>51.61782309199022</v>
      </c>
      <c r="W25" s="188" t="n">
        <v>51.5675869752212</v>
      </c>
      <c r="X25" s="188" t="n">
        <v>51.51494420994973</v>
      </c>
      <c r="Y25" s="188" t="n">
        <v>51.46258277160139</v>
      </c>
      <c r="Z25" s="188" t="n">
        <v>51.41211667867263</v>
      </c>
    </row>
  </sheetData>
  <mergeCells count="6">
    <mergeCell ref="A1:Z1"/>
    <mergeCell ref="A9:Z9"/>
    <mergeCell ref="A21:Z21"/>
    <mergeCell ref="A4:Z4"/>
    <mergeCell ref="A16:Z16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2026-03-24T00:43:24Z</dcterms:created>
  <dcterms:modified xmlns:dcterms="http://purl.org/dc/terms/" xmlns:xsi="http://www.w3.org/2001/XMLSchema-instance" xsi:type="dcterms:W3CDTF">2026-04-01T11:10:02Z</dcterms:modified>
  <cp:lastModifiedBy>minh hoang</cp:lastModifiedBy>
  <cp:revision>0</cp:revision>
</cp:coreProperties>
</file>