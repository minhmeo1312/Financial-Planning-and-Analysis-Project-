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KPI_Dashboard" sheetId="6" state="visible" r:id="rId6"/>
    <sheet xmlns:r="http://schemas.openxmlformats.org/officeDocument/2006/relationships" name="Sce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$#,##0.00;($#,##0.00);&quot;-&quot;"/>
    <numFmt numFmtId="167" formatCode="#,##0.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404040"/>
      <sz val="8"/>
    </font>
    <font>
      <name val="Arial"/>
      <b val="1"/>
      <color rgb="00FFFFFF"/>
      <sz val="12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595959"/>
      <sz val="8"/>
    </font>
    <font>
      <name val="Arial"/>
      <color rgb="00595959"/>
      <sz val="7"/>
    </font>
    <font>
      <name val="Arial"/>
      <color rgb="009C0006"/>
      <sz val="9"/>
    </font>
    <font>
      <name val="Arial"/>
      <color rgb="00595959"/>
      <sz val="9"/>
    </font>
    <font>
      <name val="Arial"/>
      <color rgb="00375623"/>
      <sz val="9"/>
    </font>
    <font>
      <name val="Arial"/>
      <b val="1"/>
      <color rgb="009C0006"/>
      <sz val="9"/>
    </font>
    <font>
      <name val="Arial"/>
      <b val="1"/>
      <color rgb="00375623"/>
      <sz val="9"/>
    </font>
    <font>
      <name val="Arial"/>
      <b val="1"/>
      <color rgb="00FFFFFF"/>
      <sz val="8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FFFCE6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D9E1F2"/>
      </patternFill>
    </fill>
    <fill>
      <patternFill patternType="solid">
        <fgColor rgb="00243F60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595959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/>
      <right/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3" fontId="10" fillId="1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0" fillId="4" borderId="0" pivotButton="0" quotePrefix="0" xfId="0"/>
    <xf numFmtId="0" fontId="12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65" fontId="1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165" fontId="17" fillId="6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right" vertical="center"/>
    </xf>
    <xf numFmtId="167" fontId="4" fillId="13" borderId="1" applyAlignment="1" pivotButton="0" quotePrefix="0" xfId="0">
      <alignment horizontal="center" vertical="center"/>
    </xf>
    <xf numFmtId="167" fontId="4" fillId="14" borderId="1" applyAlignment="1" pivotButton="0" quotePrefix="0" xfId="0">
      <alignment horizontal="center" vertical="center"/>
    </xf>
    <xf numFmtId="167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165" fontId="17" fillId="2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65" fontId="15" fillId="6" borderId="1" applyAlignment="1" pivotButton="0" quotePrefix="0" xfId="0">
      <alignment horizontal="right" vertical="center"/>
    </xf>
    <xf numFmtId="0" fontId="9" fillId="1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3" fontId="10" fillId="15" borderId="1" applyAlignment="1" pivotButton="0" quotePrefix="0" xfId="0">
      <alignment horizontal="right" vertical="center"/>
    </xf>
    <xf numFmtId="3" fontId="10" fillId="13" borderId="1" applyAlignment="1" pivotButton="0" quotePrefix="0" xfId="0">
      <alignment horizontal="right" vertical="center"/>
    </xf>
    <xf numFmtId="165" fontId="15" fillId="1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right" vertical="center"/>
    </xf>
    <xf numFmtId="166" fontId="10" fillId="15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165" fontId="10" fillId="15" borderId="1" applyAlignment="1" pivotButton="0" quotePrefix="0" xfId="0">
      <alignment horizontal="right" vertical="center"/>
    </xf>
    <xf numFmtId="165" fontId="10" fillId="13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right" vertical="center"/>
    </xf>
    <xf numFmtId="164" fontId="17" fillId="15" borderId="1" applyAlignment="1" pivotButton="0" quotePrefix="0" xfId="0">
      <alignment horizontal="right" vertical="center"/>
    </xf>
    <xf numFmtId="164" fontId="16" fillId="13" borderId="1" applyAlignment="1" pivotButton="0" quotePrefix="0" xfId="0">
      <alignment horizontal="right" vertical="center"/>
    </xf>
    <xf numFmtId="165" fontId="13" fillId="13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164" fontId="19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</cols>
  <sheetData>
    <row r="1" ht="30" customHeight="1">
      <c r="A1" s="1" t="inlineStr">
        <is>
          <t>BrewCo Coffee Chain — Small Business Financial Model</t>
        </is>
      </c>
    </row>
    <row r="2" ht="14" customHeight="1">
      <c r="A2" s="2" t="inlineStr">
        <is>
          <t>Built by Minh Hoang | FP&amp;A Specialist | minhhoang1289@gmail.com</t>
        </is>
      </c>
    </row>
    <row r="4" ht="16" customHeight="1">
      <c r="A4" s="3" t="inlineStr">
        <is>
          <t>ABOUT THIS MODEL</t>
        </is>
      </c>
    </row>
    <row r="5" ht="28" customHeight="1">
      <c r="A5" s="4" t="inlineStr">
        <is>
          <t>Company</t>
        </is>
      </c>
      <c r="B5" s="5" t="inlineStr">
        <is>
          <t>BrewCo Coffee Chain — illustrative 3-location specialty coffee business (Vietnam market)</t>
        </is>
      </c>
      <c r="C5" s="6" t="n"/>
    </row>
    <row r="6" ht="28" customHeight="1">
      <c r="A6" s="7" t="inlineStr">
        <is>
          <t>Purpose</t>
        </is>
      </c>
      <c r="B6" s="8" t="inlineStr">
        <is>
          <t>Full financial planning model for small/medium business. Plug in your own numbers to generate P&amp;L, Cash Flow, KPIs, Break-even and Scenario analysis automatically.</t>
        </is>
      </c>
      <c r="C6" s="6" t="n"/>
    </row>
    <row r="7" ht="28" customHeight="1">
      <c r="A7" s="4" t="inlineStr">
        <is>
          <t>Model Period</t>
        </is>
      </c>
      <c r="B7" s="5" t="inlineStr">
        <is>
          <t>24 months (FY2025 + FY2026), monthly granularity</t>
        </is>
      </c>
      <c r="C7" s="6" t="n"/>
    </row>
    <row r="8" ht="28" customHeight="1">
      <c r="A8" s="7" t="inlineStr">
        <is>
          <t>Currency</t>
        </is>
      </c>
      <c r="B8" s="8" t="inlineStr">
        <is>
          <t>USD (can be adapted to VND — change headers only)</t>
        </is>
      </c>
      <c r="C8" s="6" t="n"/>
    </row>
    <row r="9" ht="28" customHeight="1">
      <c r="A9" s="4" t="inlineStr">
        <is>
          <t>Built With</t>
        </is>
      </c>
      <c r="B9" s="5" t="inlineStr">
        <is>
          <t>Excel-compatible formulas only. No macros. Works in Google Sheets.</t>
        </is>
      </c>
      <c r="C9" s="6" t="n"/>
    </row>
    <row r="11" ht="16" customHeight="1">
      <c r="A11" s="3" t="inlineStr">
        <is>
          <t>HOW TO USE</t>
        </is>
      </c>
    </row>
    <row r="12" ht="26" customHeight="1">
      <c r="A12" s="7" t="inlineStr">
        <is>
          <t>Step 1</t>
        </is>
      </c>
      <c r="B12" s="8" t="inlineStr">
        <is>
          <t>→ Assumptions sheet: Change ONLY the blue cells — revenue per location, costs, growth rates, staff count. Everything else updates automatically.</t>
        </is>
      </c>
      <c r="C12" s="6" t="n"/>
    </row>
    <row r="13" ht="26" customHeight="1">
      <c r="A13" s="4" t="inlineStr">
        <is>
          <t>Step 2</t>
        </is>
      </c>
      <c r="B13" s="5" t="inlineStr">
        <is>
          <t>→ P&amp;L sheet: Review monthly Profit &amp; Loss. Green = profit, Red = loss. Check EBITDA and Net Income trends.</t>
        </is>
      </c>
      <c r="C13" s="6" t="n"/>
    </row>
    <row r="14" ht="26" customHeight="1">
      <c r="A14" s="7" t="inlineStr">
        <is>
          <t>Step 3</t>
        </is>
      </c>
      <c r="B14" s="8" t="inlineStr">
        <is>
          <t>→ Cash_Flow sheet: Check Ending Cash Balance. If it goes negative (red), adjust assumptions or add funding.</t>
        </is>
      </c>
      <c r="C14" s="6" t="n"/>
    </row>
    <row r="15" ht="26" customHeight="1">
      <c r="A15" s="4" t="inlineStr">
        <is>
          <t>Step 4</t>
        </is>
      </c>
      <c r="B15" s="5" t="inlineStr">
        <is>
          <t>→ Break_Even sheet: See exactly how many customers/day per location to cover costs. Sensitivity table included.</t>
        </is>
      </c>
      <c r="C15" s="6" t="n"/>
    </row>
    <row r="16" ht="26" customHeight="1">
      <c r="A16" s="7" t="inlineStr">
        <is>
          <t>Step 5</t>
        </is>
      </c>
      <c r="B16" s="8" t="inlineStr">
        <is>
          <t>→ KPI_Dashboard: Visual snapshot — Revenue, EBITDA Margin, Break-even progress. Present to investors/lenders.</t>
        </is>
      </c>
      <c r="C16" s="6" t="n"/>
    </row>
    <row r="17" ht="26" customHeight="1">
      <c r="A17" s="4" t="inlineStr">
        <is>
          <t>Step 6</t>
        </is>
      </c>
      <c r="B17" s="5" t="inlineStr">
        <is>
          <t>→ Scenario sheet: Compare Base vs Growth vs Conservative — change 1 assumption to stress-test the business.</t>
        </is>
      </c>
      <c r="C17" s="6" t="n"/>
    </row>
    <row r="19" ht="20" customHeight="1">
      <c r="A19" s="9" t="inlineStr">
        <is>
          <t>COLOUR GUIDE: Blue = Input (you change these) | Black = Formula (auto-calculated) | Green = Positive | Red = Negative | Yellow = Attention needed</t>
        </is>
      </c>
    </row>
  </sheetData>
  <mergeCells count="16">
    <mergeCell ref="B13:C13"/>
    <mergeCell ref="B6:C6"/>
    <mergeCell ref="B16:C16"/>
    <mergeCell ref="A11:C11"/>
    <mergeCell ref="B15:C15"/>
    <mergeCell ref="B7:C7"/>
    <mergeCell ref="A1:C1"/>
    <mergeCell ref="A19:C19"/>
    <mergeCell ref="B5:C5"/>
    <mergeCell ref="B14:C14"/>
    <mergeCell ref="B17:C17"/>
    <mergeCell ref="B9:C9"/>
    <mergeCell ref="A4:C4"/>
    <mergeCell ref="B8:C8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 ht="24" customHeight="1">
      <c r="A1" s="10" t="inlineStr">
        <is>
          <t>BrewCo Coffee Chain — Assumptions &amp; Drivers</t>
        </is>
      </c>
    </row>
    <row r="2" ht="14" customHeight="1">
      <c r="A2" s="11" t="inlineStr">
        <is>
          <t>Change ONLY blue cells. All other sheets update automatically. Blue = Input | Black = Formula</t>
        </is>
      </c>
    </row>
    <row r="4" ht="16" customHeight="1">
      <c r="A4" s="12" t="inlineStr">
        <is>
          <t>Assumption</t>
        </is>
      </c>
      <c r="B4" s="12" t="inlineStr">
        <is>
          <t>Base Case</t>
        </is>
      </c>
      <c r="C4" s="13" t="inlineStr">
        <is>
          <t>Growth Case</t>
        </is>
      </c>
      <c r="D4" s="14" t="inlineStr">
        <is>
          <t>Conservative</t>
        </is>
      </c>
      <c r="E4" s="12" t="inlineStr">
        <is>
          <t>Notes</t>
        </is>
      </c>
    </row>
    <row r="5" ht="15" customHeight="1">
      <c r="A5" s="15" t="inlineStr">
        <is>
          <t>REVENUE DRIVERS</t>
        </is>
      </c>
    </row>
    <row r="6" ht="15" customHeight="1">
      <c r="A6" s="7" t="inlineStr">
        <is>
          <t>Number of Locations</t>
        </is>
      </c>
      <c r="B6" s="16" t="n">
        <v>3</v>
      </c>
      <c r="C6" s="16" t="n">
        <v>4</v>
      </c>
      <c r="D6" s="16" t="n">
        <v>2</v>
      </c>
      <c r="E6" s="17" t="inlineStr">
        <is>
          <t>Stores open at start of model</t>
        </is>
      </c>
    </row>
    <row r="7" ht="15" customHeight="1">
      <c r="A7" s="4" t="inlineStr">
        <is>
          <t>Avg Daily Customers / Location</t>
        </is>
      </c>
      <c r="B7" s="16" t="n">
        <v>180</v>
      </c>
      <c r="C7" s="16" t="n">
        <v>220</v>
      </c>
      <c r="D7" s="16" t="n">
        <v>140</v>
      </c>
      <c r="E7" s="18" t="inlineStr">
        <is>
          <t>Peak season assumption</t>
        </is>
      </c>
    </row>
    <row r="8" ht="15" customHeight="1">
      <c r="A8" s="7" t="inlineStr">
        <is>
          <t>Avg Ticket Size (USD)</t>
        </is>
      </c>
      <c r="B8" s="19" t="n">
        <v>6.5</v>
      </c>
      <c r="C8" s="19" t="n">
        <v>7.2</v>
      </c>
      <c r="D8" s="19" t="n">
        <v>5.8</v>
      </c>
      <c r="E8" s="17" t="inlineStr">
        <is>
          <t>Coffee + food average</t>
        </is>
      </c>
    </row>
    <row r="9" ht="15" customHeight="1">
      <c r="A9" s="4" t="inlineStr">
        <is>
          <t>Monthly Revenue Growth Rate</t>
        </is>
      </c>
      <c r="B9" s="20" t="n">
        <v>0.008</v>
      </c>
      <c r="C9" s="20" t="n">
        <v>0.012</v>
      </c>
      <c r="D9" s="20" t="n">
        <v>0.003</v>
      </c>
      <c r="E9" s="18" t="inlineStr">
        <is>
          <t>Month-on-month growth</t>
        </is>
      </c>
    </row>
    <row r="10" ht="15" customHeight="1">
      <c r="A10" s="7" t="inlineStr">
        <is>
          <t>Seasonal Peak Factor (Q4)</t>
        </is>
      </c>
      <c r="B10" s="19" t="n">
        <v>1.15</v>
      </c>
      <c r="C10" s="19" t="n">
        <v>1.2</v>
      </c>
      <c r="D10" s="19" t="n">
        <v>1.05</v>
      </c>
      <c r="E10" s="17" t="inlineStr">
        <is>
          <t>Nov-Dec uplift multiplier</t>
        </is>
      </c>
    </row>
    <row r="11" ht="15" customHeight="1">
      <c r="A11" s="15" t="inlineStr">
        <is>
          <t>COST OF GOODS SOLD</t>
        </is>
      </c>
    </row>
    <row r="12" ht="15" customHeight="1">
      <c r="A12" s="7" t="inlineStr">
        <is>
          <t>COGS % of Revenue</t>
        </is>
      </c>
      <c r="B12" s="20" t="n">
        <v>0.32</v>
      </c>
      <c r="C12" s="20" t="n">
        <v>0.3</v>
      </c>
      <c r="D12" s="20" t="n">
        <v>0.36</v>
      </c>
      <c r="E12" s="17" t="inlineStr">
        <is>
          <t>Coffee beans, milk, packaging</t>
        </is>
      </c>
    </row>
    <row r="13" ht="15" customHeight="1">
      <c r="A13" s="4" t="inlineStr">
        <is>
          <t>Waste / Shrinkage %</t>
        </is>
      </c>
      <c r="B13" s="20" t="n">
        <v>0.02</v>
      </c>
      <c r="C13" s="20" t="n">
        <v>0.015</v>
      </c>
      <c r="D13" s="20" t="n">
        <v>0.03</v>
      </c>
      <c r="E13" s="18" t="inlineStr">
        <is>
          <t>Spoilage, over-pouring</t>
        </is>
      </c>
    </row>
    <row r="14" ht="15" customHeight="1">
      <c r="A14" s="15" t="inlineStr">
        <is>
          <t>PAYROLL &amp; STAFFING</t>
        </is>
      </c>
    </row>
    <row r="15" ht="15" customHeight="1">
      <c r="A15" s="4" t="inlineStr">
        <is>
          <t>Staff per Location</t>
        </is>
      </c>
      <c r="B15" s="16" t="n">
        <v>6</v>
      </c>
      <c r="C15" s="16" t="n">
        <v>7</v>
      </c>
      <c r="D15" s="16" t="n">
        <v>5</v>
      </c>
      <c r="E15" s="18" t="inlineStr">
        <is>
          <t>Baristas + 1 supervisor</t>
        </is>
      </c>
    </row>
    <row r="16" ht="15" customHeight="1">
      <c r="A16" s="7" t="inlineStr">
        <is>
          <t>Avg Monthly Salary / Staff (USD)</t>
        </is>
      </c>
      <c r="B16" s="16" t="n">
        <v>650</v>
      </c>
      <c r="C16" s="16" t="n">
        <v>700</v>
      </c>
      <c r="D16" s="16" t="n">
        <v>600</v>
      </c>
      <c r="E16" s="17" t="inlineStr">
        <is>
          <t>Including benefits</t>
        </is>
      </c>
    </row>
    <row r="17" ht="15" customHeight="1">
      <c r="A17" s="4" t="inlineStr">
        <is>
          <t>Annual Salary Increase %</t>
        </is>
      </c>
      <c r="B17" s="20" t="n">
        <v>0.05</v>
      </c>
      <c r="C17" s="20" t="n">
        <v>0.06</v>
      </c>
      <c r="D17" s="20" t="n">
        <v>0.03</v>
      </c>
      <c r="E17" s="18" t="inlineStr">
        <is>
          <t>Jan-26 uplift</t>
        </is>
      </c>
    </row>
    <row r="18" ht="15" customHeight="1">
      <c r="A18" s="15" t="inlineStr">
        <is>
          <t>OPERATING EXPENSES</t>
        </is>
      </c>
    </row>
    <row r="19" ht="15" customHeight="1">
      <c r="A19" s="4" t="inlineStr">
        <is>
          <t>Rent per Location / Month (USD)</t>
        </is>
      </c>
      <c r="B19" s="16" t="n">
        <v>1800</v>
      </c>
      <c r="C19" s="16" t="n">
        <v>1800</v>
      </c>
      <c r="D19" s="16" t="n">
        <v>2000</v>
      </c>
      <c r="E19" s="18" t="inlineStr">
        <is>
          <t>Fixed — negotiated leases</t>
        </is>
      </c>
    </row>
    <row r="20" ht="15" customHeight="1">
      <c r="A20" s="7" t="inlineStr">
        <is>
          <t>Utilities per Location / Month</t>
        </is>
      </c>
      <c r="B20" s="16" t="n">
        <v>350</v>
      </c>
      <c r="C20" s="16" t="n">
        <v>380</v>
      </c>
      <c r="D20" s="16" t="n">
        <v>420</v>
      </c>
      <c r="E20" s="17" t="inlineStr">
        <is>
          <t>Electric, water, internet</t>
        </is>
      </c>
    </row>
    <row r="21" ht="15" customHeight="1">
      <c r="A21" s="4" t="inlineStr">
        <is>
          <t>Marketing % of Revenue</t>
        </is>
      </c>
      <c r="B21" s="20" t="n">
        <v>0.05</v>
      </c>
      <c r="C21" s="20" t="n">
        <v>0.07000000000000001</v>
      </c>
      <c r="D21" s="20" t="n">
        <v>0.03</v>
      </c>
      <c r="E21" s="18" t="inlineStr">
        <is>
          <t>Digital + local campaigns</t>
        </is>
      </c>
    </row>
    <row r="22" ht="15" customHeight="1">
      <c r="A22" s="7" t="inlineStr">
        <is>
          <t>G&amp;A / Month (USD)</t>
        </is>
      </c>
      <c r="B22" s="16" t="n">
        <v>1200</v>
      </c>
      <c r="C22" s="16" t="n">
        <v>1400</v>
      </c>
      <c r="D22" s="16" t="n">
        <v>1000</v>
      </c>
      <c r="E22" s="17" t="inlineStr">
        <is>
          <t>Admin, accounting, legal</t>
        </is>
      </c>
    </row>
    <row r="23" ht="15" customHeight="1">
      <c r="A23" s="4" t="inlineStr">
        <is>
          <t>Depreciation / Month (USD)</t>
        </is>
      </c>
      <c r="B23" s="16" t="n">
        <v>800</v>
      </c>
      <c r="C23" s="16" t="n">
        <v>900</v>
      </c>
      <c r="D23" s="16" t="n">
        <v>700</v>
      </c>
      <c r="E23" s="18" t="inlineStr">
        <is>
          <t>Equipment over 5yr life</t>
        </is>
      </c>
    </row>
    <row r="24" ht="15" customHeight="1">
      <c r="A24" s="15" t="inlineStr">
        <is>
          <t>WORKING CAPITAL</t>
        </is>
      </c>
    </row>
    <row r="25" ht="15" customHeight="1">
      <c r="A25" s="4" t="inlineStr">
        <is>
          <t>Days Sales Outstanding (DSO)</t>
        </is>
      </c>
      <c r="B25" s="16" t="n">
        <v>5</v>
      </c>
      <c r="C25" s="16" t="n">
        <v>5</v>
      </c>
      <c r="D25" s="16" t="n">
        <v>7</v>
      </c>
      <c r="E25" s="18" t="inlineStr">
        <is>
          <t>Cash business — near zero</t>
        </is>
      </c>
    </row>
    <row r="26" ht="15" customHeight="1">
      <c r="A26" s="7" t="inlineStr">
        <is>
          <t>Days Payable Outstanding (DPO)</t>
        </is>
      </c>
      <c r="B26" s="16" t="n">
        <v>30</v>
      </c>
      <c r="C26" s="16" t="n">
        <v>35</v>
      </c>
      <c r="D26" s="16" t="n">
        <v>25</v>
      </c>
      <c r="E26" s="17" t="inlineStr">
        <is>
          <t>Supplier payment terms</t>
        </is>
      </c>
    </row>
    <row r="27" ht="15" customHeight="1">
      <c r="A27" s="4" t="inlineStr">
        <is>
          <t>Inventory Days</t>
        </is>
      </c>
      <c r="B27" s="16" t="n">
        <v>7</v>
      </c>
      <c r="C27" s="16" t="n">
        <v>6</v>
      </c>
      <c r="D27" s="16" t="n">
        <v>10</v>
      </c>
      <c r="E27" s="18" t="inlineStr">
        <is>
          <t>Perishables — low stock</t>
        </is>
      </c>
    </row>
    <row r="28" ht="15" customHeight="1">
      <c r="A28" s="15" t="inlineStr">
        <is>
          <t>CAPEX &amp; FUNDING</t>
        </is>
      </c>
    </row>
    <row r="29" ht="15" customHeight="1">
      <c r="A29" s="4" t="inlineStr">
        <is>
          <t>Opening Cash Balance (USD)</t>
        </is>
      </c>
      <c r="B29" s="16" t="n">
        <v>50000</v>
      </c>
      <c r="C29" s="16" t="n">
        <v>60000</v>
      </c>
      <c r="D29" s="16" t="n">
        <v>40000</v>
      </c>
      <c r="E29" s="18" t="inlineStr">
        <is>
          <t>Cash on hand at Jan-25</t>
        </is>
      </c>
    </row>
    <row r="30" ht="15" customHeight="1">
      <c r="A30" s="7" t="inlineStr">
        <is>
          <t>Capex New Location (USD)</t>
        </is>
      </c>
      <c r="B30" s="16" t="n">
        <v>0</v>
      </c>
      <c r="C30" s="16" t="n">
        <v>35000</v>
      </c>
      <c r="D30" s="16" t="n">
        <v>0</v>
      </c>
      <c r="E30" s="17" t="inlineStr">
        <is>
          <t>Growth case: open 4th store Jul-26</t>
        </is>
      </c>
    </row>
    <row r="31" ht="15" customHeight="1">
      <c r="A31" s="4" t="inlineStr">
        <is>
          <t>Loan Balance (USD)</t>
        </is>
      </c>
      <c r="B31" s="16" t="n">
        <v>80000</v>
      </c>
      <c r="C31" s="16" t="n">
        <v>80000</v>
      </c>
      <c r="D31" s="16" t="n">
        <v>80000</v>
      </c>
      <c r="E31" s="18" t="inlineStr">
        <is>
          <t>Existing bank loan</t>
        </is>
      </c>
    </row>
    <row r="32" ht="15" customHeight="1">
      <c r="A32" s="7" t="inlineStr">
        <is>
          <t>Monthly Loan Repayment (USD)</t>
        </is>
      </c>
      <c r="B32" s="16" t="n">
        <v>2200</v>
      </c>
      <c r="C32" s="16" t="n">
        <v>2200</v>
      </c>
      <c r="D32" s="16" t="n">
        <v>2200</v>
      </c>
      <c r="E32" s="17" t="inlineStr">
        <is>
          <t>Principal + interest</t>
        </is>
      </c>
    </row>
    <row r="33" ht="15" customHeight="1">
      <c r="A33" s="4" t="inlineStr">
        <is>
          <t>Tax Rate %</t>
        </is>
      </c>
      <c r="B33" s="20" t="n">
        <v>0.2</v>
      </c>
      <c r="C33" s="20" t="n">
        <v>0.2</v>
      </c>
      <c r="D33" s="20" t="n">
        <v>0.2</v>
      </c>
      <c r="E33" s="18" t="inlineStr">
        <is>
          <t>Corporate income tax</t>
        </is>
      </c>
    </row>
  </sheetData>
  <mergeCells count="8">
    <mergeCell ref="A24:E24"/>
    <mergeCell ref="A2:E2"/>
    <mergeCell ref="A28:E28"/>
    <mergeCell ref="A11:E11"/>
    <mergeCell ref="A1:E1"/>
    <mergeCell ref="A5:E5"/>
    <mergeCell ref="A14:E14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 ht="24" customHeight="1">
      <c r="A1" s="10" t="inlineStr">
        <is>
          <t>BrewCo Coffee Chain — Monthly Income Statement (P&amp;L)</t>
        </is>
      </c>
    </row>
    <row r="2" ht="14" customHeight="1">
      <c r="A2" s="11" t="inlineStr">
        <is>
          <t>All figures in USD. Formulas pull from Assumptions sheet. Change assumptions there — this sheet auto-updates.</t>
        </is>
      </c>
    </row>
    <row r="4" ht="16" customHeight="1">
      <c r="A4" s="21" t="inlineStr">
        <is>
          <t>Line Item</t>
        </is>
      </c>
      <c r="B4" s="22" t="inlineStr">
        <is>
          <t>Notes</t>
        </is>
      </c>
      <c r="C4" s="22" t="inlineStr">
        <is>
          <t>Jan-25</t>
        </is>
      </c>
      <c r="D4" s="22" t="inlineStr">
        <is>
          <t>Feb-25</t>
        </is>
      </c>
      <c r="E4" s="22" t="inlineStr">
        <is>
          <t>Mar-25</t>
        </is>
      </c>
      <c r="F4" s="22" t="inlineStr">
        <is>
          <t>Apr-25</t>
        </is>
      </c>
      <c r="G4" s="22" t="inlineStr">
        <is>
          <t>May-25</t>
        </is>
      </c>
      <c r="H4" s="22" t="inlineStr">
        <is>
          <t>Jun-25</t>
        </is>
      </c>
      <c r="I4" s="22" t="inlineStr">
        <is>
          <t>Jul-25</t>
        </is>
      </c>
      <c r="J4" s="22" t="inlineStr">
        <is>
          <t>Aug-25</t>
        </is>
      </c>
      <c r="K4" s="22" t="inlineStr">
        <is>
          <t>Sep-25</t>
        </is>
      </c>
      <c r="L4" s="22" t="inlineStr">
        <is>
          <t>Oct-25</t>
        </is>
      </c>
      <c r="M4" s="22" t="inlineStr">
        <is>
          <t>Nov-25</t>
        </is>
      </c>
      <c r="N4" s="22" t="inlineStr">
        <is>
          <t>Dec-25</t>
        </is>
      </c>
      <c r="O4" s="22" t="inlineStr">
        <is>
          <t>Jan-26</t>
        </is>
      </c>
      <c r="P4" s="22" t="inlineStr">
        <is>
          <t>Feb-26</t>
        </is>
      </c>
      <c r="Q4" s="22" t="inlineStr">
        <is>
          <t>Mar-26</t>
        </is>
      </c>
      <c r="R4" s="22" t="inlineStr">
        <is>
          <t>Apr-26</t>
        </is>
      </c>
      <c r="S4" s="22" t="inlineStr">
        <is>
          <t>May-26</t>
        </is>
      </c>
      <c r="T4" s="22" t="inlineStr">
        <is>
          <t>Jun-26</t>
        </is>
      </c>
      <c r="U4" s="22" t="inlineStr">
        <is>
          <t>Jul-26</t>
        </is>
      </c>
      <c r="V4" s="22" t="inlineStr">
        <is>
          <t>Aug-26</t>
        </is>
      </c>
      <c r="W4" s="22" t="inlineStr">
        <is>
          <t>Sep-26</t>
        </is>
      </c>
      <c r="X4" s="22" t="inlineStr">
        <is>
          <t>Oct-26</t>
        </is>
      </c>
      <c r="Y4" s="22" t="inlineStr">
        <is>
          <t>Nov-26</t>
        </is>
      </c>
      <c r="Z4" s="22" t="inlineStr">
        <is>
          <t>Dec-26</t>
        </is>
      </c>
      <c r="AA4" s="23" t="inlineStr">
        <is>
          <t>FY2025</t>
        </is>
      </c>
      <c r="AB4" s="23" t="inlineStr">
        <is>
          <t>FY2026</t>
        </is>
      </c>
    </row>
    <row r="5" ht="14" customHeight="1">
      <c r="A5" s="15" t="inlineStr">
        <is>
          <t>REVENUE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14" customHeight="1">
      <c r="A6" s="7" t="inlineStr">
        <is>
          <t>Gross Revenue</t>
        </is>
      </c>
      <c r="B6" s="25" t="inlineStr">
        <is>
          <t>Loc×Cust×Ticket×26d</t>
        </is>
      </c>
      <c r="C6" s="26">
        <f>Assumptions!$B$5*Assumptions!$B$6*Assumptions!$B$7*26*(1+Assumptions!$B$8)^0</f>
        <v/>
      </c>
      <c r="D6" s="26">
        <f>Assumptions!$B$5*Assumptions!$B$6*Assumptions!$B$7*26*(1+Assumptions!$B$8)^1</f>
        <v/>
      </c>
      <c r="E6" s="26">
        <f>Assumptions!$B$5*Assumptions!$B$6*Assumptions!$B$7*26*(1+Assumptions!$B$8)^2</f>
        <v/>
      </c>
      <c r="F6" s="26">
        <f>Assumptions!$B$5*Assumptions!$B$6*Assumptions!$B$7*26*(1+Assumptions!$B$8)^3</f>
        <v/>
      </c>
      <c r="G6" s="26">
        <f>Assumptions!$B$5*Assumptions!$B$6*Assumptions!$B$7*26*(1+Assumptions!$B$8)^4</f>
        <v/>
      </c>
      <c r="H6" s="26">
        <f>Assumptions!$B$5*Assumptions!$B$6*Assumptions!$B$7*26*(1+Assumptions!$B$8)^5</f>
        <v/>
      </c>
      <c r="I6" s="26">
        <f>Assumptions!$B$5*Assumptions!$B$6*Assumptions!$B$7*26*(1+Assumptions!$B$8)^6</f>
        <v/>
      </c>
      <c r="J6" s="26">
        <f>Assumptions!$B$5*Assumptions!$B$6*Assumptions!$B$7*26*(1+Assumptions!$B$8)^7</f>
        <v/>
      </c>
      <c r="K6" s="26">
        <f>Assumptions!$B$5*Assumptions!$B$6*Assumptions!$B$7*26*(1+Assumptions!$B$8)^8</f>
        <v/>
      </c>
      <c r="L6" s="26">
        <f>Assumptions!$B$5*Assumptions!$B$6*Assumptions!$B$7*26*(1+Assumptions!$B$8)^9</f>
        <v/>
      </c>
      <c r="M6" s="26">
        <f>Assumptions!$B$5*Assumptions!$B$6*Assumptions!$B$7*26*(1+Assumptions!$B$8)^10*Assumptions!$B$9</f>
        <v/>
      </c>
      <c r="N6" s="26">
        <f>Assumptions!$B$5*Assumptions!$B$6*Assumptions!$B$7*26*(1+Assumptions!$B$8)^11*Assumptions!$B$9</f>
        <v/>
      </c>
      <c r="O6" s="26">
        <f>Assumptions!$B$5*Assumptions!$B$6*Assumptions!$B$7*26*(1+Assumptions!$B$8)^12</f>
        <v/>
      </c>
      <c r="P6" s="26">
        <f>Assumptions!$B$5*Assumptions!$B$6*Assumptions!$B$7*26*(1+Assumptions!$B$8)^13</f>
        <v/>
      </c>
      <c r="Q6" s="26">
        <f>Assumptions!$B$5*Assumptions!$B$6*Assumptions!$B$7*26*(1+Assumptions!$B$8)^14</f>
        <v/>
      </c>
      <c r="R6" s="26">
        <f>Assumptions!$B$5*Assumptions!$B$6*Assumptions!$B$7*26*(1+Assumptions!$B$8)^15</f>
        <v/>
      </c>
      <c r="S6" s="26">
        <f>Assumptions!$B$5*Assumptions!$B$6*Assumptions!$B$7*26*(1+Assumptions!$B$8)^16</f>
        <v/>
      </c>
      <c r="T6" s="26">
        <f>Assumptions!$B$5*Assumptions!$B$6*Assumptions!$B$7*26*(1+Assumptions!$B$8)^17</f>
        <v/>
      </c>
      <c r="U6" s="26">
        <f>Assumptions!$B$5*Assumptions!$B$6*Assumptions!$B$7*26*(1+Assumptions!$B$8)^18</f>
        <v/>
      </c>
      <c r="V6" s="26">
        <f>Assumptions!$B$5*Assumptions!$B$6*Assumptions!$B$7*26*(1+Assumptions!$B$8)^19</f>
        <v/>
      </c>
      <c r="W6" s="26">
        <f>Assumptions!$B$5*Assumptions!$B$6*Assumptions!$B$7*26*(1+Assumptions!$B$8)^20</f>
        <v/>
      </c>
      <c r="X6" s="26">
        <f>Assumptions!$B$5*Assumptions!$B$6*Assumptions!$B$7*26*(1+Assumptions!$B$8)^21</f>
        <v/>
      </c>
      <c r="Y6" s="26">
        <f>Assumptions!$B$5*Assumptions!$B$6*Assumptions!$B$7*26*(1+Assumptions!$B$8)^22*Assumptions!$B$9</f>
        <v/>
      </c>
      <c r="Z6" s="26">
        <f>Assumptions!$B$5*Assumptions!$B$6*Assumptions!$B$7*26*(1+Assumptions!$B$8)^23*Assumptions!$B$9</f>
        <v/>
      </c>
      <c r="AA6" s="27">
        <f>SUM(C6:N6)</f>
        <v/>
      </c>
      <c r="AB6" s="27">
        <f>SUM(O6:Z6)</f>
        <v/>
      </c>
    </row>
    <row r="7" ht="14" customHeight="1">
      <c r="A7" s="5" t="inlineStr">
        <is>
          <t>Cost of Goods Sold</t>
        </is>
      </c>
      <c r="B7" s="28" t="inlineStr">
        <is>
          <t>COGS% + Waste%</t>
        </is>
      </c>
      <c r="C7" s="29">
        <f>-(C6*(Assumptions!$B$11+Assumptions!$B$12))</f>
        <v/>
      </c>
      <c r="D7" s="29">
        <f>-(D6*(Assumptions!$B$11+Assumptions!$B$12))</f>
        <v/>
      </c>
      <c r="E7" s="29">
        <f>-(E6*(Assumptions!$B$11+Assumptions!$B$12))</f>
        <v/>
      </c>
      <c r="F7" s="29">
        <f>-(F6*(Assumptions!$B$11+Assumptions!$B$12))</f>
        <v/>
      </c>
      <c r="G7" s="29">
        <f>-(G6*(Assumptions!$B$11+Assumptions!$B$12))</f>
        <v/>
      </c>
      <c r="H7" s="29">
        <f>-(H6*(Assumptions!$B$11+Assumptions!$B$12))</f>
        <v/>
      </c>
      <c r="I7" s="29">
        <f>-(I6*(Assumptions!$B$11+Assumptions!$B$12))</f>
        <v/>
      </c>
      <c r="J7" s="29">
        <f>-(J6*(Assumptions!$B$11+Assumptions!$B$12))</f>
        <v/>
      </c>
      <c r="K7" s="29">
        <f>-(K6*(Assumptions!$B$11+Assumptions!$B$12))</f>
        <v/>
      </c>
      <c r="L7" s="29">
        <f>-(L6*(Assumptions!$B$11+Assumptions!$B$12))</f>
        <v/>
      </c>
      <c r="M7" s="29">
        <f>-(M6*(Assumptions!$B$11+Assumptions!$B$12))</f>
        <v/>
      </c>
      <c r="N7" s="29">
        <f>-(N6*(Assumptions!$B$11+Assumptions!$B$12))</f>
        <v/>
      </c>
      <c r="O7" s="29">
        <f>-(O6*(Assumptions!$B$11+Assumptions!$B$12))</f>
        <v/>
      </c>
      <c r="P7" s="29">
        <f>-(P6*(Assumptions!$B$11+Assumptions!$B$12))</f>
        <v/>
      </c>
      <c r="Q7" s="29">
        <f>-(Q6*(Assumptions!$B$11+Assumptions!$B$12))</f>
        <v/>
      </c>
      <c r="R7" s="29">
        <f>-(R6*(Assumptions!$B$11+Assumptions!$B$12))</f>
        <v/>
      </c>
      <c r="S7" s="29">
        <f>-(S6*(Assumptions!$B$11+Assumptions!$B$12))</f>
        <v/>
      </c>
      <c r="T7" s="29">
        <f>-(T6*(Assumptions!$B$11+Assumptions!$B$12))</f>
        <v/>
      </c>
      <c r="U7" s="29">
        <f>-(U6*(Assumptions!$B$11+Assumptions!$B$12))</f>
        <v/>
      </c>
      <c r="V7" s="29">
        <f>-(V6*(Assumptions!$B$11+Assumptions!$B$12))</f>
        <v/>
      </c>
      <c r="W7" s="29">
        <f>-(W6*(Assumptions!$B$11+Assumptions!$B$12))</f>
        <v/>
      </c>
      <c r="X7" s="29">
        <f>-(X6*(Assumptions!$B$11+Assumptions!$B$12))</f>
        <v/>
      </c>
      <c r="Y7" s="29">
        <f>-(Y6*(Assumptions!$B$11+Assumptions!$B$12))</f>
        <v/>
      </c>
      <c r="Z7" s="29">
        <f>-(Z6*(Assumptions!$B$11+Assumptions!$B$12))</f>
        <v/>
      </c>
      <c r="AA7" s="29">
        <f>SUM(C7:N7)</f>
        <v/>
      </c>
      <c r="AB7" s="29">
        <f>SUM(O7:Z7)</f>
        <v/>
      </c>
    </row>
    <row r="8" ht="14" customHeight="1">
      <c r="A8" s="7" t="inlineStr">
        <is>
          <t>Gross Profit</t>
        </is>
      </c>
      <c r="B8" s="25" t="inlineStr">
        <is>
          <t>Rev + COGS</t>
        </is>
      </c>
      <c r="C8" s="27">
        <f>C6+C7</f>
        <v/>
      </c>
      <c r="D8" s="27">
        <f>D6+D7</f>
        <v/>
      </c>
      <c r="E8" s="27">
        <f>E6+E7</f>
        <v/>
      </c>
      <c r="F8" s="27">
        <f>F6+F7</f>
        <v/>
      </c>
      <c r="G8" s="27">
        <f>G6+G7</f>
        <v/>
      </c>
      <c r="H8" s="27">
        <f>H6+H7</f>
        <v/>
      </c>
      <c r="I8" s="27">
        <f>I6+I7</f>
        <v/>
      </c>
      <c r="J8" s="27">
        <f>J6+J7</f>
        <v/>
      </c>
      <c r="K8" s="27">
        <f>K6+K7</f>
        <v/>
      </c>
      <c r="L8" s="27">
        <f>L6+L7</f>
        <v/>
      </c>
      <c r="M8" s="27">
        <f>M6+M7</f>
        <v/>
      </c>
      <c r="N8" s="27">
        <f>N6+N7</f>
        <v/>
      </c>
      <c r="O8" s="27">
        <f>O6+O7</f>
        <v/>
      </c>
      <c r="P8" s="27">
        <f>P6+P7</f>
        <v/>
      </c>
      <c r="Q8" s="27">
        <f>Q6+Q7</f>
        <v/>
      </c>
      <c r="R8" s="27">
        <f>R6+R7</f>
        <v/>
      </c>
      <c r="S8" s="27">
        <f>S6+S7</f>
        <v/>
      </c>
      <c r="T8" s="27">
        <f>T6+T7</f>
        <v/>
      </c>
      <c r="U8" s="27">
        <f>U6+U7</f>
        <v/>
      </c>
      <c r="V8" s="27">
        <f>V6+V7</f>
        <v/>
      </c>
      <c r="W8" s="27">
        <f>W6+W7</f>
        <v/>
      </c>
      <c r="X8" s="27">
        <f>X6+X7</f>
        <v/>
      </c>
      <c r="Y8" s="27">
        <f>Y6+Y7</f>
        <v/>
      </c>
      <c r="Z8" s="27">
        <f>Z6+Z7</f>
        <v/>
      </c>
      <c r="AA8" s="27">
        <f>SUM(C8:N8)</f>
        <v/>
      </c>
      <c r="AB8" s="27">
        <f>SUM(O8:Z8)</f>
        <v/>
      </c>
    </row>
    <row r="9" ht="13" customHeight="1">
      <c r="A9" s="30" t="inlineStr">
        <is>
          <t xml:space="preserve">  Gross Margin %</t>
        </is>
      </c>
      <c r="B9" s="28" t="inlineStr">
        <is>
          <t>GP/Rev</t>
        </is>
      </c>
      <c r="C9" s="31">
        <f>IF(C6&lt;&gt;0,C8/C6,0)</f>
        <v/>
      </c>
      <c r="D9" s="31">
        <f>IF(D6&lt;&gt;0,D8/D6,0)</f>
        <v/>
      </c>
      <c r="E9" s="31">
        <f>IF(E6&lt;&gt;0,E8/E6,0)</f>
        <v/>
      </c>
      <c r="F9" s="31">
        <f>IF(F6&lt;&gt;0,F8/F6,0)</f>
        <v/>
      </c>
      <c r="G9" s="31">
        <f>IF(G6&lt;&gt;0,G8/G6,0)</f>
        <v/>
      </c>
      <c r="H9" s="31">
        <f>IF(H6&lt;&gt;0,H8/H6,0)</f>
        <v/>
      </c>
      <c r="I9" s="31">
        <f>IF(I6&lt;&gt;0,I8/I6,0)</f>
        <v/>
      </c>
      <c r="J9" s="31">
        <f>IF(J6&lt;&gt;0,J8/J6,0)</f>
        <v/>
      </c>
      <c r="K9" s="31">
        <f>IF(K6&lt;&gt;0,K8/K6,0)</f>
        <v/>
      </c>
      <c r="L9" s="31">
        <f>IF(L6&lt;&gt;0,L8/L6,0)</f>
        <v/>
      </c>
      <c r="M9" s="31">
        <f>IF(M6&lt;&gt;0,M8/M6,0)</f>
        <v/>
      </c>
      <c r="N9" s="31">
        <f>IF(N6&lt;&gt;0,N8/N6,0)</f>
        <v/>
      </c>
      <c r="O9" s="31">
        <f>IF(O6&lt;&gt;0,O8/O6,0)</f>
        <v/>
      </c>
      <c r="P9" s="31">
        <f>IF(P6&lt;&gt;0,P8/P6,0)</f>
        <v/>
      </c>
      <c r="Q9" s="31">
        <f>IF(Q6&lt;&gt;0,Q8/Q6,0)</f>
        <v/>
      </c>
      <c r="R9" s="31">
        <f>IF(R6&lt;&gt;0,R8/R6,0)</f>
        <v/>
      </c>
      <c r="S9" s="31">
        <f>IF(S6&lt;&gt;0,S8/S6,0)</f>
        <v/>
      </c>
      <c r="T9" s="31">
        <f>IF(T6&lt;&gt;0,T8/T6,0)</f>
        <v/>
      </c>
      <c r="U9" s="31">
        <f>IF(U6&lt;&gt;0,U8/U6,0)</f>
        <v/>
      </c>
      <c r="V9" s="31">
        <f>IF(V6&lt;&gt;0,V8/V6,0)</f>
        <v/>
      </c>
      <c r="W9" s="31">
        <f>IF(W6&lt;&gt;0,W8/W6,0)</f>
        <v/>
      </c>
      <c r="X9" s="31">
        <f>IF(X6&lt;&gt;0,X8/X6,0)</f>
        <v/>
      </c>
      <c r="Y9" s="31">
        <f>IF(Y6&lt;&gt;0,Y8/Y6,0)</f>
        <v/>
      </c>
      <c r="Z9" s="31">
        <f>IF(Z6&lt;&gt;0,Z8/Z6,0)</f>
        <v/>
      </c>
      <c r="AA9" s="31">
        <f>IF(C6&lt;&gt;0,C8/C6,0)</f>
        <v/>
      </c>
      <c r="AB9" s="31">
        <f>IF(O6&lt;&gt;0,O8/O6,0)</f>
        <v/>
      </c>
    </row>
    <row r="10" ht="14" customHeight="1">
      <c r="A10" s="15" t="inlineStr">
        <is>
          <t>OPERATING EXPENSES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 ht="14" customHeight="1">
      <c r="A11" s="5" t="inlineStr">
        <is>
          <t>Payroll &amp; Benefits</t>
        </is>
      </c>
      <c r="B11" s="28" t="inlineStr"/>
      <c r="C11" s="29">
        <f>-(Assumptions!$B$5*Assumptions!$B$14*Assumptions!$B$15*(1+IF(MOD(0,12)=0,Assumptions!$B$16,0)))</f>
        <v/>
      </c>
      <c r="D11" s="29">
        <f>-(Assumptions!$B$5*Assumptions!$B$14*Assumptions!$B$15*(1+IF(MOD(1,12)=0,Assumptions!$B$16,0)))</f>
        <v/>
      </c>
      <c r="E11" s="29">
        <f>-(Assumptions!$B$5*Assumptions!$B$14*Assumptions!$B$15*(1+IF(MOD(2,12)=0,Assumptions!$B$16,0)))</f>
        <v/>
      </c>
      <c r="F11" s="29">
        <f>-(Assumptions!$B$5*Assumptions!$B$14*Assumptions!$B$15*(1+IF(MOD(3,12)=0,Assumptions!$B$16,0)))</f>
        <v/>
      </c>
      <c r="G11" s="29">
        <f>-(Assumptions!$B$5*Assumptions!$B$14*Assumptions!$B$15*(1+IF(MOD(4,12)=0,Assumptions!$B$16,0)))</f>
        <v/>
      </c>
      <c r="H11" s="29">
        <f>-(Assumptions!$B$5*Assumptions!$B$14*Assumptions!$B$15*(1+IF(MOD(5,12)=0,Assumptions!$B$16,0)))</f>
        <v/>
      </c>
      <c r="I11" s="29">
        <f>-(Assumptions!$B$5*Assumptions!$B$14*Assumptions!$B$15*(1+IF(MOD(6,12)=0,Assumptions!$B$16,0)))</f>
        <v/>
      </c>
      <c r="J11" s="29">
        <f>-(Assumptions!$B$5*Assumptions!$B$14*Assumptions!$B$15*(1+IF(MOD(7,12)=0,Assumptions!$B$16,0)))</f>
        <v/>
      </c>
      <c r="K11" s="29">
        <f>-(Assumptions!$B$5*Assumptions!$B$14*Assumptions!$B$15*(1+IF(MOD(8,12)=0,Assumptions!$B$16,0)))</f>
        <v/>
      </c>
      <c r="L11" s="29">
        <f>-(Assumptions!$B$5*Assumptions!$B$14*Assumptions!$B$15*(1+IF(MOD(9,12)=0,Assumptions!$B$16,0)))</f>
        <v/>
      </c>
      <c r="M11" s="29">
        <f>-(Assumptions!$B$5*Assumptions!$B$14*Assumptions!$B$15*(1+IF(MOD(10,12)=0,Assumptions!$B$16,0)))</f>
        <v/>
      </c>
      <c r="N11" s="29">
        <f>-(Assumptions!$B$5*Assumptions!$B$14*Assumptions!$B$15*(1+IF(MOD(11,12)=0,Assumptions!$B$16,0)))</f>
        <v/>
      </c>
      <c r="O11" s="29">
        <f>-(Assumptions!$B$5*Assumptions!$B$14*Assumptions!$B$15*(1+IF(MOD(12,12)=0,Assumptions!$B$16,0)))</f>
        <v/>
      </c>
      <c r="P11" s="29">
        <f>-(Assumptions!$B$5*Assumptions!$B$14*Assumptions!$B$15*(1+IF(MOD(13,12)=0,Assumptions!$B$16,0)))</f>
        <v/>
      </c>
      <c r="Q11" s="29">
        <f>-(Assumptions!$B$5*Assumptions!$B$14*Assumptions!$B$15*(1+IF(MOD(14,12)=0,Assumptions!$B$16,0)))</f>
        <v/>
      </c>
      <c r="R11" s="29">
        <f>-(Assumptions!$B$5*Assumptions!$B$14*Assumptions!$B$15*(1+IF(MOD(15,12)=0,Assumptions!$B$16,0)))</f>
        <v/>
      </c>
      <c r="S11" s="29">
        <f>-(Assumptions!$B$5*Assumptions!$B$14*Assumptions!$B$15*(1+IF(MOD(16,12)=0,Assumptions!$B$16,0)))</f>
        <v/>
      </c>
      <c r="T11" s="29">
        <f>-(Assumptions!$B$5*Assumptions!$B$14*Assumptions!$B$15*(1+IF(MOD(17,12)=0,Assumptions!$B$16,0)))</f>
        <v/>
      </c>
      <c r="U11" s="29">
        <f>-(Assumptions!$B$5*Assumptions!$B$14*Assumptions!$B$15*(1+IF(MOD(18,12)=0,Assumptions!$B$16,0)))</f>
        <v/>
      </c>
      <c r="V11" s="29">
        <f>-(Assumptions!$B$5*Assumptions!$B$14*Assumptions!$B$15*(1+IF(MOD(19,12)=0,Assumptions!$B$16,0)))</f>
        <v/>
      </c>
      <c r="W11" s="29">
        <f>-(Assumptions!$B$5*Assumptions!$B$14*Assumptions!$B$15*(1+IF(MOD(20,12)=0,Assumptions!$B$16,0)))</f>
        <v/>
      </c>
      <c r="X11" s="29">
        <f>-(Assumptions!$B$5*Assumptions!$B$14*Assumptions!$B$15*(1+IF(MOD(21,12)=0,Assumptions!$B$16,0)))</f>
        <v/>
      </c>
      <c r="Y11" s="29">
        <f>-(Assumptions!$B$5*Assumptions!$B$14*Assumptions!$B$15*(1+IF(MOD(22,12)=0,Assumptions!$B$16,0)))</f>
        <v/>
      </c>
      <c r="Z11" s="29">
        <f>-(Assumptions!$B$5*Assumptions!$B$14*Assumptions!$B$15*(1+IF(MOD(23,12)=0,Assumptions!$B$16,0)))</f>
        <v/>
      </c>
      <c r="AA11" s="29">
        <f>SUM(C11:N11)</f>
        <v/>
      </c>
      <c r="AB11" s="29">
        <f>SUM(O11:Z11)</f>
        <v/>
      </c>
    </row>
    <row r="12" ht="14" customHeight="1">
      <c r="A12" s="8" t="inlineStr">
        <is>
          <t>Rent</t>
        </is>
      </c>
      <c r="B12" s="25" t="inlineStr"/>
      <c r="C12" s="29">
        <f>-(Assumptions!$B$5*Assumptions!$B$18)</f>
        <v/>
      </c>
      <c r="D12" s="29">
        <f>-(Assumptions!$B$5*Assumptions!$B$18)</f>
        <v/>
      </c>
      <c r="E12" s="29">
        <f>-(Assumptions!$B$5*Assumptions!$B$18)</f>
        <v/>
      </c>
      <c r="F12" s="29">
        <f>-(Assumptions!$B$5*Assumptions!$B$18)</f>
        <v/>
      </c>
      <c r="G12" s="29">
        <f>-(Assumptions!$B$5*Assumptions!$B$18)</f>
        <v/>
      </c>
      <c r="H12" s="29">
        <f>-(Assumptions!$B$5*Assumptions!$B$18)</f>
        <v/>
      </c>
      <c r="I12" s="29">
        <f>-(Assumptions!$B$5*Assumptions!$B$18)</f>
        <v/>
      </c>
      <c r="J12" s="29">
        <f>-(Assumptions!$B$5*Assumptions!$B$18)</f>
        <v/>
      </c>
      <c r="K12" s="29">
        <f>-(Assumptions!$B$5*Assumptions!$B$18)</f>
        <v/>
      </c>
      <c r="L12" s="29">
        <f>-(Assumptions!$B$5*Assumptions!$B$18)</f>
        <v/>
      </c>
      <c r="M12" s="29">
        <f>-(Assumptions!$B$5*Assumptions!$B$18)</f>
        <v/>
      </c>
      <c r="N12" s="29">
        <f>-(Assumptions!$B$5*Assumptions!$B$18)</f>
        <v/>
      </c>
      <c r="O12" s="29">
        <f>-(Assumptions!$B$5*Assumptions!$B$18)</f>
        <v/>
      </c>
      <c r="P12" s="29">
        <f>-(Assumptions!$B$5*Assumptions!$B$18)</f>
        <v/>
      </c>
      <c r="Q12" s="29">
        <f>-(Assumptions!$B$5*Assumptions!$B$18)</f>
        <v/>
      </c>
      <c r="R12" s="29">
        <f>-(Assumptions!$B$5*Assumptions!$B$18)</f>
        <v/>
      </c>
      <c r="S12" s="29">
        <f>-(Assumptions!$B$5*Assumptions!$B$18)</f>
        <v/>
      </c>
      <c r="T12" s="29">
        <f>-(Assumptions!$B$5*Assumptions!$B$18)</f>
        <v/>
      </c>
      <c r="U12" s="29">
        <f>-(Assumptions!$B$5*Assumptions!$B$18)</f>
        <v/>
      </c>
      <c r="V12" s="29">
        <f>-(Assumptions!$B$5*Assumptions!$B$18)</f>
        <v/>
      </c>
      <c r="W12" s="29">
        <f>-(Assumptions!$B$5*Assumptions!$B$18)</f>
        <v/>
      </c>
      <c r="X12" s="29">
        <f>-(Assumptions!$B$5*Assumptions!$B$18)</f>
        <v/>
      </c>
      <c r="Y12" s="29">
        <f>-(Assumptions!$B$5*Assumptions!$B$18)</f>
        <v/>
      </c>
      <c r="Z12" s="29">
        <f>-(Assumptions!$B$5*Assumptions!$B$18)</f>
        <v/>
      </c>
      <c r="AA12" s="29">
        <f>SUM(C12:N12)</f>
        <v/>
      </c>
      <c r="AB12" s="29">
        <f>SUM(O12:Z12)</f>
        <v/>
      </c>
    </row>
    <row r="13" ht="14" customHeight="1">
      <c r="A13" s="5" t="inlineStr">
        <is>
          <t>Utilities</t>
        </is>
      </c>
      <c r="B13" s="28" t="inlineStr"/>
      <c r="C13" s="29">
        <f>-(Assumptions!$B$5*Assumptions!$B$19)</f>
        <v/>
      </c>
      <c r="D13" s="29">
        <f>-(Assumptions!$B$5*Assumptions!$B$19)</f>
        <v/>
      </c>
      <c r="E13" s="29">
        <f>-(Assumptions!$B$5*Assumptions!$B$19)</f>
        <v/>
      </c>
      <c r="F13" s="29">
        <f>-(Assumptions!$B$5*Assumptions!$B$19)</f>
        <v/>
      </c>
      <c r="G13" s="29">
        <f>-(Assumptions!$B$5*Assumptions!$B$19)</f>
        <v/>
      </c>
      <c r="H13" s="29">
        <f>-(Assumptions!$B$5*Assumptions!$B$19)</f>
        <v/>
      </c>
      <c r="I13" s="29">
        <f>-(Assumptions!$B$5*Assumptions!$B$19)</f>
        <v/>
      </c>
      <c r="J13" s="29">
        <f>-(Assumptions!$B$5*Assumptions!$B$19)</f>
        <v/>
      </c>
      <c r="K13" s="29">
        <f>-(Assumptions!$B$5*Assumptions!$B$19)</f>
        <v/>
      </c>
      <c r="L13" s="29">
        <f>-(Assumptions!$B$5*Assumptions!$B$19)</f>
        <v/>
      </c>
      <c r="M13" s="29">
        <f>-(Assumptions!$B$5*Assumptions!$B$19)</f>
        <v/>
      </c>
      <c r="N13" s="29">
        <f>-(Assumptions!$B$5*Assumptions!$B$19)</f>
        <v/>
      </c>
      <c r="O13" s="29">
        <f>-(Assumptions!$B$5*Assumptions!$B$19)</f>
        <v/>
      </c>
      <c r="P13" s="29">
        <f>-(Assumptions!$B$5*Assumptions!$B$19)</f>
        <v/>
      </c>
      <c r="Q13" s="29">
        <f>-(Assumptions!$B$5*Assumptions!$B$19)</f>
        <v/>
      </c>
      <c r="R13" s="29">
        <f>-(Assumptions!$B$5*Assumptions!$B$19)</f>
        <v/>
      </c>
      <c r="S13" s="29">
        <f>-(Assumptions!$B$5*Assumptions!$B$19)</f>
        <v/>
      </c>
      <c r="T13" s="29">
        <f>-(Assumptions!$B$5*Assumptions!$B$19)</f>
        <v/>
      </c>
      <c r="U13" s="29">
        <f>-(Assumptions!$B$5*Assumptions!$B$19)</f>
        <v/>
      </c>
      <c r="V13" s="29">
        <f>-(Assumptions!$B$5*Assumptions!$B$19)</f>
        <v/>
      </c>
      <c r="W13" s="29">
        <f>-(Assumptions!$B$5*Assumptions!$B$19)</f>
        <v/>
      </c>
      <c r="X13" s="29">
        <f>-(Assumptions!$B$5*Assumptions!$B$19)</f>
        <v/>
      </c>
      <c r="Y13" s="29">
        <f>-(Assumptions!$B$5*Assumptions!$B$19)</f>
        <v/>
      </c>
      <c r="Z13" s="29">
        <f>-(Assumptions!$B$5*Assumptions!$B$19)</f>
        <v/>
      </c>
      <c r="AA13" s="29">
        <f>SUM(C13:N13)</f>
        <v/>
      </c>
      <c r="AB13" s="29">
        <f>SUM(O13:Z13)</f>
        <v/>
      </c>
    </row>
    <row r="14" ht="14" customHeight="1">
      <c r="A14" s="8" t="inlineStr">
        <is>
          <t>Marketing</t>
        </is>
      </c>
      <c r="B14" s="25" t="inlineStr"/>
      <c r="C14" s="29">
        <f>-(C6*Assumptions!$B$20)</f>
        <v/>
      </c>
      <c r="D14" s="29">
        <f>-(D6*Assumptions!$B$20)</f>
        <v/>
      </c>
      <c r="E14" s="29">
        <f>-(E6*Assumptions!$B$20)</f>
        <v/>
      </c>
      <c r="F14" s="29">
        <f>-(F6*Assumptions!$B$20)</f>
        <v/>
      </c>
      <c r="G14" s="29">
        <f>-(G6*Assumptions!$B$20)</f>
        <v/>
      </c>
      <c r="H14" s="29">
        <f>-(H6*Assumptions!$B$20)</f>
        <v/>
      </c>
      <c r="I14" s="29">
        <f>-(I6*Assumptions!$B$20)</f>
        <v/>
      </c>
      <c r="J14" s="29">
        <f>-(J6*Assumptions!$B$20)</f>
        <v/>
      </c>
      <c r="K14" s="29">
        <f>-(K6*Assumptions!$B$20)</f>
        <v/>
      </c>
      <c r="L14" s="29">
        <f>-(L6*Assumptions!$B$20)</f>
        <v/>
      </c>
      <c r="M14" s="29">
        <f>-(M6*Assumptions!$B$20)</f>
        <v/>
      </c>
      <c r="N14" s="29">
        <f>-(N6*Assumptions!$B$20)</f>
        <v/>
      </c>
      <c r="O14" s="29">
        <f>-(O6*Assumptions!$B$20)</f>
        <v/>
      </c>
      <c r="P14" s="29">
        <f>-(P6*Assumptions!$B$20)</f>
        <v/>
      </c>
      <c r="Q14" s="29">
        <f>-(Q6*Assumptions!$B$20)</f>
        <v/>
      </c>
      <c r="R14" s="29">
        <f>-(R6*Assumptions!$B$20)</f>
        <v/>
      </c>
      <c r="S14" s="29">
        <f>-(S6*Assumptions!$B$20)</f>
        <v/>
      </c>
      <c r="T14" s="29">
        <f>-(T6*Assumptions!$B$20)</f>
        <v/>
      </c>
      <c r="U14" s="29">
        <f>-(U6*Assumptions!$B$20)</f>
        <v/>
      </c>
      <c r="V14" s="29">
        <f>-(V6*Assumptions!$B$20)</f>
        <v/>
      </c>
      <c r="W14" s="29">
        <f>-(W6*Assumptions!$B$20)</f>
        <v/>
      </c>
      <c r="X14" s="29">
        <f>-(X6*Assumptions!$B$20)</f>
        <v/>
      </c>
      <c r="Y14" s="29">
        <f>-(Y6*Assumptions!$B$20)</f>
        <v/>
      </c>
      <c r="Z14" s="29">
        <f>-(Z6*Assumptions!$B$20)</f>
        <v/>
      </c>
      <c r="AA14" s="29">
        <f>SUM(C14:N14)</f>
        <v/>
      </c>
      <c r="AB14" s="29">
        <f>SUM(O14:Z14)</f>
        <v/>
      </c>
    </row>
    <row r="15" ht="14" customHeight="1">
      <c r="A15" s="5" t="inlineStr">
        <is>
          <t>G&amp;A</t>
        </is>
      </c>
      <c r="B15" s="28" t="inlineStr"/>
      <c r="C15" s="29">
        <f>-Assumptions!$B$21</f>
        <v/>
      </c>
      <c r="D15" s="29">
        <f>-Assumptions!$B$21</f>
        <v/>
      </c>
      <c r="E15" s="29">
        <f>-Assumptions!$B$21</f>
        <v/>
      </c>
      <c r="F15" s="29">
        <f>-Assumptions!$B$21</f>
        <v/>
      </c>
      <c r="G15" s="29">
        <f>-Assumptions!$B$21</f>
        <v/>
      </c>
      <c r="H15" s="29">
        <f>-Assumptions!$B$21</f>
        <v/>
      </c>
      <c r="I15" s="29">
        <f>-Assumptions!$B$21</f>
        <v/>
      </c>
      <c r="J15" s="29">
        <f>-Assumptions!$B$21</f>
        <v/>
      </c>
      <c r="K15" s="29">
        <f>-Assumptions!$B$21</f>
        <v/>
      </c>
      <c r="L15" s="29">
        <f>-Assumptions!$B$21</f>
        <v/>
      </c>
      <c r="M15" s="29">
        <f>-Assumptions!$B$21</f>
        <v/>
      </c>
      <c r="N15" s="29">
        <f>-Assumptions!$B$21</f>
        <v/>
      </c>
      <c r="O15" s="29">
        <f>-Assumptions!$B$21</f>
        <v/>
      </c>
      <c r="P15" s="29">
        <f>-Assumptions!$B$21</f>
        <v/>
      </c>
      <c r="Q15" s="29">
        <f>-Assumptions!$B$21</f>
        <v/>
      </c>
      <c r="R15" s="29">
        <f>-Assumptions!$B$21</f>
        <v/>
      </c>
      <c r="S15" s="29">
        <f>-Assumptions!$B$21</f>
        <v/>
      </c>
      <c r="T15" s="29">
        <f>-Assumptions!$B$21</f>
        <v/>
      </c>
      <c r="U15" s="29">
        <f>-Assumptions!$B$21</f>
        <v/>
      </c>
      <c r="V15" s="29">
        <f>-Assumptions!$B$21</f>
        <v/>
      </c>
      <c r="W15" s="29">
        <f>-Assumptions!$B$21</f>
        <v/>
      </c>
      <c r="X15" s="29">
        <f>-Assumptions!$B$21</f>
        <v/>
      </c>
      <c r="Y15" s="29">
        <f>-Assumptions!$B$21</f>
        <v/>
      </c>
      <c r="Z15" s="29">
        <f>-Assumptions!$B$21</f>
        <v/>
      </c>
      <c r="AA15" s="29">
        <f>SUM(C15:N15)</f>
        <v/>
      </c>
      <c r="AB15" s="29">
        <f>SUM(O15:Z15)</f>
        <v/>
      </c>
    </row>
    <row r="16" ht="14" customHeight="1">
      <c r="A16" s="8" t="inlineStr">
        <is>
          <t>Depreciation</t>
        </is>
      </c>
      <c r="B16" s="25" t="inlineStr"/>
      <c r="C16" s="29">
        <f>-Assumptions!$B$22</f>
        <v/>
      </c>
      <c r="D16" s="29">
        <f>-Assumptions!$B$22</f>
        <v/>
      </c>
      <c r="E16" s="29">
        <f>-Assumptions!$B$22</f>
        <v/>
      </c>
      <c r="F16" s="29">
        <f>-Assumptions!$B$22</f>
        <v/>
      </c>
      <c r="G16" s="29">
        <f>-Assumptions!$B$22</f>
        <v/>
      </c>
      <c r="H16" s="29">
        <f>-Assumptions!$B$22</f>
        <v/>
      </c>
      <c r="I16" s="29">
        <f>-Assumptions!$B$22</f>
        <v/>
      </c>
      <c r="J16" s="29">
        <f>-Assumptions!$B$22</f>
        <v/>
      </c>
      <c r="K16" s="29">
        <f>-Assumptions!$B$22</f>
        <v/>
      </c>
      <c r="L16" s="29">
        <f>-Assumptions!$B$22</f>
        <v/>
      </c>
      <c r="M16" s="29">
        <f>-Assumptions!$B$22</f>
        <v/>
      </c>
      <c r="N16" s="29">
        <f>-Assumptions!$B$22</f>
        <v/>
      </c>
      <c r="O16" s="29">
        <f>-Assumptions!$B$22</f>
        <v/>
      </c>
      <c r="P16" s="29">
        <f>-Assumptions!$B$22</f>
        <v/>
      </c>
      <c r="Q16" s="29">
        <f>-Assumptions!$B$22</f>
        <v/>
      </c>
      <c r="R16" s="29">
        <f>-Assumptions!$B$22</f>
        <v/>
      </c>
      <c r="S16" s="29">
        <f>-Assumptions!$B$22</f>
        <v/>
      </c>
      <c r="T16" s="29">
        <f>-Assumptions!$B$22</f>
        <v/>
      </c>
      <c r="U16" s="29">
        <f>-Assumptions!$B$22</f>
        <v/>
      </c>
      <c r="V16" s="29">
        <f>-Assumptions!$B$22</f>
        <v/>
      </c>
      <c r="W16" s="29">
        <f>-Assumptions!$B$22</f>
        <v/>
      </c>
      <c r="X16" s="29">
        <f>-Assumptions!$B$22</f>
        <v/>
      </c>
      <c r="Y16" s="29">
        <f>-Assumptions!$B$22</f>
        <v/>
      </c>
      <c r="Z16" s="29">
        <f>-Assumptions!$B$22</f>
        <v/>
      </c>
      <c r="AA16" s="29">
        <f>SUM(C16:N16)</f>
        <v/>
      </c>
      <c r="AB16" s="29">
        <f>SUM(O16:Z16)</f>
        <v/>
      </c>
    </row>
    <row r="17" ht="14" customHeight="1">
      <c r="A17" s="7" t="inlineStr">
        <is>
          <t>Total Operating Expenses</t>
        </is>
      </c>
      <c r="B17" s="32" t="inlineStr"/>
      <c r="C17" s="33">
        <f>SUM(C11:C16)</f>
        <v/>
      </c>
      <c r="D17" s="33">
        <f>SUM(D11:D16)</f>
        <v/>
      </c>
      <c r="E17" s="33">
        <f>SUM(E11:E16)</f>
        <v/>
      </c>
      <c r="F17" s="33">
        <f>SUM(F11:F16)</f>
        <v/>
      </c>
      <c r="G17" s="33">
        <f>SUM(G11:G16)</f>
        <v/>
      </c>
      <c r="H17" s="33">
        <f>SUM(H11:H16)</f>
        <v/>
      </c>
      <c r="I17" s="33">
        <f>SUM(I11:I16)</f>
        <v/>
      </c>
      <c r="J17" s="33">
        <f>SUM(J11:J16)</f>
        <v/>
      </c>
      <c r="K17" s="33">
        <f>SUM(K11:K16)</f>
        <v/>
      </c>
      <c r="L17" s="33">
        <f>SUM(L11:L16)</f>
        <v/>
      </c>
      <c r="M17" s="33">
        <f>SUM(M11:M16)</f>
        <v/>
      </c>
      <c r="N17" s="33">
        <f>SUM(N11:N16)</f>
        <v/>
      </c>
      <c r="O17" s="33">
        <f>SUM(O11:O16)</f>
        <v/>
      </c>
      <c r="P17" s="33">
        <f>SUM(P11:P16)</f>
        <v/>
      </c>
      <c r="Q17" s="33">
        <f>SUM(Q11:Q16)</f>
        <v/>
      </c>
      <c r="R17" s="33">
        <f>SUM(R11:R16)</f>
        <v/>
      </c>
      <c r="S17" s="33">
        <f>SUM(S11:S16)</f>
        <v/>
      </c>
      <c r="T17" s="33">
        <f>SUM(T11:T16)</f>
        <v/>
      </c>
      <c r="U17" s="33">
        <f>SUM(U11:U16)</f>
        <v/>
      </c>
      <c r="V17" s="33">
        <f>SUM(V11:V16)</f>
        <v/>
      </c>
      <c r="W17" s="33">
        <f>SUM(W11:W16)</f>
        <v/>
      </c>
      <c r="X17" s="33">
        <f>SUM(X11:X16)</f>
        <v/>
      </c>
      <c r="Y17" s="33">
        <f>SUM(Y11:Y16)</f>
        <v/>
      </c>
      <c r="Z17" s="33">
        <f>SUM(Z11:Z16)</f>
        <v/>
      </c>
      <c r="AA17" s="33">
        <f>SUM(C17:N17)</f>
        <v/>
      </c>
      <c r="AB17" s="33">
        <f>SUM(O17:Z17)</f>
        <v/>
      </c>
    </row>
    <row r="18" ht="15" customHeight="1">
      <c r="A18" s="34" t="inlineStr">
        <is>
          <t>EBITDA</t>
        </is>
      </c>
      <c r="B18" s="35" t="inlineStr">
        <is>
          <t>GP+Opex</t>
        </is>
      </c>
      <c r="C18" s="36">
        <f>C8+SUM(C11:C15)</f>
        <v/>
      </c>
      <c r="D18" s="36">
        <f>D8+SUM(D11:D15)</f>
        <v/>
      </c>
      <c r="E18" s="36">
        <f>E8+SUM(E11:E15)</f>
        <v/>
      </c>
      <c r="F18" s="36">
        <f>F8+SUM(F11:F15)</f>
        <v/>
      </c>
      <c r="G18" s="36">
        <f>G8+SUM(G11:G15)</f>
        <v/>
      </c>
      <c r="H18" s="36">
        <f>H8+SUM(H11:H15)</f>
        <v/>
      </c>
      <c r="I18" s="36">
        <f>I8+SUM(I11:I15)</f>
        <v/>
      </c>
      <c r="J18" s="36">
        <f>J8+SUM(J11:J15)</f>
        <v/>
      </c>
      <c r="K18" s="36">
        <f>K8+SUM(K11:K15)</f>
        <v/>
      </c>
      <c r="L18" s="36">
        <f>L8+SUM(L11:L15)</f>
        <v/>
      </c>
      <c r="M18" s="36">
        <f>M8+SUM(M11:M15)</f>
        <v/>
      </c>
      <c r="N18" s="36">
        <f>N8+SUM(N11:N15)</f>
        <v/>
      </c>
      <c r="O18" s="36">
        <f>O8+SUM(O11:O15)</f>
        <v/>
      </c>
      <c r="P18" s="36">
        <f>P8+SUM(P11:P15)</f>
        <v/>
      </c>
      <c r="Q18" s="36">
        <f>Q8+SUM(Q11:Q15)</f>
        <v/>
      </c>
      <c r="R18" s="36">
        <f>R8+SUM(R11:R15)</f>
        <v/>
      </c>
      <c r="S18" s="36">
        <f>S8+SUM(S11:S15)</f>
        <v/>
      </c>
      <c r="T18" s="36">
        <f>T8+SUM(T11:T15)</f>
        <v/>
      </c>
      <c r="U18" s="36">
        <f>U8+SUM(U11:U15)</f>
        <v/>
      </c>
      <c r="V18" s="36">
        <f>V8+SUM(V11:V15)</f>
        <v/>
      </c>
      <c r="W18" s="36">
        <f>W8+SUM(W11:W15)</f>
        <v/>
      </c>
      <c r="X18" s="36">
        <f>X8+SUM(X11:X15)</f>
        <v/>
      </c>
      <c r="Y18" s="36">
        <f>Y8+SUM(Y11:Y15)</f>
        <v/>
      </c>
      <c r="Z18" s="36">
        <f>Z8+SUM(Z11:Z15)</f>
        <v/>
      </c>
      <c r="AA18" s="36">
        <f>SUM(C18:N18)</f>
        <v/>
      </c>
      <c r="AB18" s="36">
        <f>SUM(O18:Z18)</f>
        <v/>
      </c>
    </row>
    <row r="19" ht="13" customHeight="1">
      <c r="A19" s="30" t="inlineStr">
        <is>
          <t xml:space="preserve">  EBITDA Margin %</t>
        </is>
      </c>
      <c r="C19" s="31">
        <f>IF(C6&lt;&gt;0,C18/C6,0)</f>
        <v/>
      </c>
      <c r="D19" s="31">
        <f>IF(D6&lt;&gt;0,D18/D6,0)</f>
        <v/>
      </c>
      <c r="E19" s="31">
        <f>IF(E6&lt;&gt;0,E18/E6,0)</f>
        <v/>
      </c>
      <c r="F19" s="31">
        <f>IF(F6&lt;&gt;0,F18/F6,0)</f>
        <v/>
      </c>
      <c r="G19" s="31">
        <f>IF(G6&lt;&gt;0,G18/G6,0)</f>
        <v/>
      </c>
      <c r="H19" s="31">
        <f>IF(H6&lt;&gt;0,H18/H6,0)</f>
        <v/>
      </c>
      <c r="I19" s="31">
        <f>IF(I6&lt;&gt;0,I18/I6,0)</f>
        <v/>
      </c>
      <c r="J19" s="31">
        <f>IF(J6&lt;&gt;0,J18/J6,0)</f>
        <v/>
      </c>
      <c r="K19" s="31">
        <f>IF(K6&lt;&gt;0,K18/K6,0)</f>
        <v/>
      </c>
      <c r="L19" s="31">
        <f>IF(L6&lt;&gt;0,L18/L6,0)</f>
        <v/>
      </c>
      <c r="M19" s="31">
        <f>IF(M6&lt;&gt;0,M18/M6,0)</f>
        <v/>
      </c>
      <c r="N19" s="31">
        <f>IF(N6&lt;&gt;0,N18/N6,0)</f>
        <v/>
      </c>
      <c r="O19" s="31">
        <f>IF(O6&lt;&gt;0,O18/O6,0)</f>
        <v/>
      </c>
      <c r="P19" s="31">
        <f>IF(P6&lt;&gt;0,P18/P6,0)</f>
        <v/>
      </c>
      <c r="Q19" s="31">
        <f>IF(Q6&lt;&gt;0,Q18/Q6,0)</f>
        <v/>
      </c>
      <c r="R19" s="31">
        <f>IF(R6&lt;&gt;0,R18/R6,0)</f>
        <v/>
      </c>
      <c r="S19" s="31">
        <f>IF(S6&lt;&gt;0,S18/S6,0)</f>
        <v/>
      </c>
      <c r="T19" s="31">
        <f>IF(T6&lt;&gt;0,T18/T6,0)</f>
        <v/>
      </c>
      <c r="U19" s="31">
        <f>IF(U6&lt;&gt;0,U18/U6,0)</f>
        <v/>
      </c>
      <c r="V19" s="31">
        <f>IF(V6&lt;&gt;0,V18/V6,0)</f>
        <v/>
      </c>
      <c r="W19" s="31">
        <f>IF(W6&lt;&gt;0,W18/W6,0)</f>
        <v/>
      </c>
      <c r="X19" s="31">
        <f>IF(X6&lt;&gt;0,X18/X6,0)</f>
        <v/>
      </c>
      <c r="Y19" s="31">
        <f>IF(Y6&lt;&gt;0,Y18/Y6,0)</f>
        <v/>
      </c>
      <c r="Z19" s="31">
        <f>IF(Z6&lt;&gt;0,Z18/Z6,0)</f>
        <v/>
      </c>
      <c r="AA19" s="31">
        <f>IF(C6&lt;&gt;0,C18/C6,0)</f>
        <v/>
      </c>
      <c r="AB19" s="31">
        <f>IF(O6&lt;&gt;0,O18/O6,0)</f>
        <v/>
      </c>
    </row>
    <row r="20" ht="14" customHeight="1">
      <c r="A20" s="15" t="inlineStr">
        <is>
          <t>BELOW THE LINE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14" customHeight="1">
      <c r="A21" s="8" t="inlineStr">
        <is>
          <t>EBIT (after Depreciation)</t>
        </is>
      </c>
      <c r="C21" s="37">
        <f>C18+C16</f>
        <v/>
      </c>
      <c r="D21" s="37">
        <f>D18+D16</f>
        <v/>
      </c>
      <c r="E21" s="37">
        <f>E18+E16</f>
        <v/>
      </c>
      <c r="F21" s="37">
        <f>F18+F16</f>
        <v/>
      </c>
      <c r="G21" s="37">
        <f>G18+G16</f>
        <v/>
      </c>
      <c r="H21" s="37">
        <f>H18+H16</f>
        <v/>
      </c>
      <c r="I21" s="37">
        <f>I18+I16</f>
        <v/>
      </c>
      <c r="J21" s="37">
        <f>J18+J16</f>
        <v/>
      </c>
      <c r="K21" s="37">
        <f>K18+K16</f>
        <v/>
      </c>
      <c r="L21" s="37">
        <f>L18+L16</f>
        <v/>
      </c>
      <c r="M21" s="37">
        <f>M18+M16</f>
        <v/>
      </c>
      <c r="N21" s="37">
        <f>N18+N16</f>
        <v/>
      </c>
      <c r="O21" s="37">
        <f>O18+O16</f>
        <v/>
      </c>
      <c r="P21" s="37">
        <f>P18+P16</f>
        <v/>
      </c>
      <c r="Q21" s="37">
        <f>Q18+Q16</f>
        <v/>
      </c>
      <c r="R21" s="37">
        <f>R18+R16</f>
        <v/>
      </c>
      <c r="S21" s="37">
        <f>S18+S16</f>
        <v/>
      </c>
      <c r="T21" s="37">
        <f>T18+T16</f>
        <v/>
      </c>
      <c r="U21" s="37">
        <f>U18+U16</f>
        <v/>
      </c>
      <c r="V21" s="37">
        <f>V18+V16</f>
        <v/>
      </c>
      <c r="W21" s="37">
        <f>W18+W16</f>
        <v/>
      </c>
      <c r="X21" s="37">
        <f>X18+X16</f>
        <v/>
      </c>
      <c r="Y21" s="37">
        <f>Y18+Y16</f>
        <v/>
      </c>
      <c r="Z21" s="37">
        <f>Z18+Z16</f>
        <v/>
      </c>
      <c r="AA21" s="37">
        <f>SUM(C21:N21)</f>
        <v/>
      </c>
      <c r="AB21" s="37">
        <f>SUM(O21:Z21)</f>
        <v/>
      </c>
    </row>
    <row r="22" ht="14" customHeight="1">
      <c r="A22" s="5" t="inlineStr">
        <is>
          <t>Income Tax</t>
        </is>
      </c>
      <c r="C22" s="29">
        <f>IF(C21&gt;0,-C21*Assumptions!$B$32,0)</f>
        <v/>
      </c>
      <c r="D22" s="29">
        <f>IF(D21&gt;0,-D21*Assumptions!$B$32,0)</f>
        <v/>
      </c>
      <c r="E22" s="29">
        <f>IF(E21&gt;0,-E21*Assumptions!$B$32,0)</f>
        <v/>
      </c>
      <c r="F22" s="29">
        <f>IF(F21&gt;0,-F21*Assumptions!$B$32,0)</f>
        <v/>
      </c>
      <c r="G22" s="29">
        <f>IF(G21&gt;0,-G21*Assumptions!$B$32,0)</f>
        <v/>
      </c>
      <c r="H22" s="29">
        <f>IF(H21&gt;0,-H21*Assumptions!$B$32,0)</f>
        <v/>
      </c>
      <c r="I22" s="29">
        <f>IF(I21&gt;0,-I21*Assumptions!$B$32,0)</f>
        <v/>
      </c>
      <c r="J22" s="29">
        <f>IF(J21&gt;0,-J21*Assumptions!$B$32,0)</f>
        <v/>
      </c>
      <c r="K22" s="29">
        <f>IF(K21&gt;0,-K21*Assumptions!$B$32,0)</f>
        <v/>
      </c>
      <c r="L22" s="29">
        <f>IF(L21&gt;0,-L21*Assumptions!$B$32,0)</f>
        <v/>
      </c>
      <c r="M22" s="29">
        <f>IF(M21&gt;0,-M21*Assumptions!$B$32,0)</f>
        <v/>
      </c>
      <c r="N22" s="29">
        <f>IF(N21&gt;0,-N21*Assumptions!$B$32,0)</f>
        <v/>
      </c>
      <c r="O22" s="29">
        <f>IF(O21&gt;0,-O21*Assumptions!$B$32,0)</f>
        <v/>
      </c>
      <c r="P22" s="29">
        <f>IF(P21&gt;0,-P21*Assumptions!$B$32,0)</f>
        <v/>
      </c>
      <c r="Q22" s="29">
        <f>IF(Q21&gt;0,-Q21*Assumptions!$B$32,0)</f>
        <v/>
      </c>
      <c r="R22" s="29">
        <f>IF(R21&gt;0,-R21*Assumptions!$B$32,0)</f>
        <v/>
      </c>
      <c r="S22" s="29">
        <f>IF(S21&gt;0,-S21*Assumptions!$B$32,0)</f>
        <v/>
      </c>
      <c r="T22" s="29">
        <f>IF(T21&gt;0,-T21*Assumptions!$B$32,0)</f>
        <v/>
      </c>
      <c r="U22" s="29">
        <f>IF(U21&gt;0,-U21*Assumptions!$B$32,0)</f>
        <v/>
      </c>
      <c r="V22" s="29">
        <f>IF(V21&gt;0,-V21*Assumptions!$B$32,0)</f>
        <v/>
      </c>
      <c r="W22" s="29">
        <f>IF(W21&gt;0,-W21*Assumptions!$B$32,0)</f>
        <v/>
      </c>
      <c r="X22" s="29">
        <f>IF(X21&gt;0,-X21*Assumptions!$B$32,0)</f>
        <v/>
      </c>
      <c r="Y22" s="29">
        <f>IF(Y21&gt;0,-Y21*Assumptions!$B$32,0)</f>
        <v/>
      </c>
      <c r="Z22" s="29">
        <f>IF(Z21&gt;0,-Z21*Assumptions!$B$32,0)</f>
        <v/>
      </c>
      <c r="AA22" s="29">
        <f>SUM(C22:N22)</f>
        <v/>
      </c>
      <c r="AB22" s="29">
        <f>SUM(O22:Z22)</f>
        <v/>
      </c>
    </row>
    <row r="23" ht="16" customHeight="1">
      <c r="A23" s="21" t="inlineStr">
        <is>
          <t>NET INCOME</t>
        </is>
      </c>
      <c r="C23" s="38">
        <f>C21+C22</f>
        <v/>
      </c>
      <c r="D23" s="38">
        <f>D21+D22</f>
        <v/>
      </c>
      <c r="E23" s="38">
        <f>E21+E22</f>
        <v/>
      </c>
      <c r="F23" s="38">
        <f>F21+F22</f>
        <v/>
      </c>
      <c r="G23" s="38">
        <f>G21+G22</f>
        <v/>
      </c>
      <c r="H23" s="38">
        <f>H21+H22</f>
        <v/>
      </c>
      <c r="I23" s="38">
        <f>I21+I22</f>
        <v/>
      </c>
      <c r="J23" s="38">
        <f>J21+J22</f>
        <v/>
      </c>
      <c r="K23" s="38">
        <f>K21+K22</f>
        <v/>
      </c>
      <c r="L23" s="38">
        <f>L21+L22</f>
        <v/>
      </c>
      <c r="M23" s="38">
        <f>M21+M22</f>
        <v/>
      </c>
      <c r="N23" s="38">
        <f>N21+N22</f>
        <v/>
      </c>
      <c r="O23" s="38">
        <f>O21+O22</f>
        <v/>
      </c>
      <c r="P23" s="38">
        <f>P21+P22</f>
        <v/>
      </c>
      <c r="Q23" s="38">
        <f>Q21+Q22</f>
        <v/>
      </c>
      <c r="R23" s="38">
        <f>R21+R22</f>
        <v/>
      </c>
      <c r="S23" s="38">
        <f>S21+S22</f>
        <v/>
      </c>
      <c r="T23" s="38">
        <f>T21+T22</f>
        <v/>
      </c>
      <c r="U23" s="38">
        <f>U21+U22</f>
        <v/>
      </c>
      <c r="V23" s="38">
        <f>V21+V22</f>
        <v/>
      </c>
      <c r="W23" s="38">
        <f>W21+W22</f>
        <v/>
      </c>
      <c r="X23" s="38">
        <f>X21+X22</f>
        <v/>
      </c>
      <c r="Y23" s="38">
        <f>Y21+Y22</f>
        <v/>
      </c>
      <c r="Z23" s="38">
        <f>Z21+Z22</f>
        <v/>
      </c>
      <c r="AA23" s="38">
        <f>SUM(C23:N23)</f>
        <v/>
      </c>
      <c r="AB23" s="38">
        <f>SUM(O23:Z23)</f>
        <v/>
      </c>
    </row>
  </sheetData>
  <mergeCells count="5">
    <mergeCell ref="A20:B20"/>
    <mergeCell ref="A2:E2"/>
    <mergeCell ref="A10:B10"/>
    <mergeCell ref="A5:B5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 ht="24" customHeight="1">
      <c r="A1" s="10" t="inlineStr">
        <is>
          <t>BrewCo Coffee Chain — Monthly Cash Flow Statement</t>
        </is>
      </c>
    </row>
    <row r="2" ht="14" customHeight="1">
      <c r="A2" s="11" t="inlineStr">
        <is>
          <t>Linked from P&amp;L. Ending Cash = Opening + Net Cash Movement. Red = cash shortfall — review Assumptions.</t>
        </is>
      </c>
    </row>
    <row r="4" ht="16" customHeight="1">
      <c r="A4" s="21" t="inlineStr">
        <is>
          <t>Line Item</t>
        </is>
      </c>
      <c r="B4" s="22" t="inlineStr"/>
      <c r="C4" s="22" t="inlineStr">
        <is>
          <t>Jan-25</t>
        </is>
      </c>
      <c r="D4" s="22" t="inlineStr">
        <is>
          <t>Feb-25</t>
        </is>
      </c>
      <c r="E4" s="22" t="inlineStr">
        <is>
          <t>Mar-25</t>
        </is>
      </c>
      <c r="F4" s="22" t="inlineStr">
        <is>
          <t>Apr-25</t>
        </is>
      </c>
      <c r="G4" s="22" t="inlineStr">
        <is>
          <t>May-25</t>
        </is>
      </c>
      <c r="H4" s="22" t="inlineStr">
        <is>
          <t>Jun-25</t>
        </is>
      </c>
      <c r="I4" s="22" t="inlineStr">
        <is>
          <t>Jul-25</t>
        </is>
      </c>
      <c r="J4" s="22" t="inlineStr">
        <is>
          <t>Aug-25</t>
        </is>
      </c>
      <c r="K4" s="22" t="inlineStr">
        <is>
          <t>Sep-25</t>
        </is>
      </c>
      <c r="L4" s="22" t="inlineStr">
        <is>
          <t>Oct-25</t>
        </is>
      </c>
      <c r="M4" s="22" t="inlineStr">
        <is>
          <t>Nov-25</t>
        </is>
      </c>
      <c r="N4" s="22" t="inlineStr">
        <is>
          <t>Dec-25</t>
        </is>
      </c>
      <c r="O4" s="22" t="inlineStr">
        <is>
          <t>Jan-26</t>
        </is>
      </c>
      <c r="P4" s="22" t="inlineStr">
        <is>
          <t>Feb-26</t>
        </is>
      </c>
      <c r="Q4" s="22" t="inlineStr">
        <is>
          <t>Mar-26</t>
        </is>
      </c>
      <c r="R4" s="22" t="inlineStr">
        <is>
          <t>Apr-26</t>
        </is>
      </c>
      <c r="S4" s="22" t="inlineStr">
        <is>
          <t>May-26</t>
        </is>
      </c>
      <c r="T4" s="22" t="inlineStr">
        <is>
          <t>Jun-26</t>
        </is>
      </c>
      <c r="U4" s="22" t="inlineStr">
        <is>
          <t>Jul-26</t>
        </is>
      </c>
      <c r="V4" s="22" t="inlineStr">
        <is>
          <t>Aug-26</t>
        </is>
      </c>
      <c r="W4" s="22" t="inlineStr">
        <is>
          <t>Sep-26</t>
        </is>
      </c>
      <c r="X4" s="22" t="inlineStr">
        <is>
          <t>Oct-26</t>
        </is>
      </c>
      <c r="Y4" s="22" t="inlineStr">
        <is>
          <t>Nov-26</t>
        </is>
      </c>
      <c r="Z4" s="22" t="inlineStr">
        <is>
          <t>Dec-26</t>
        </is>
      </c>
      <c r="AA4" s="23" t="inlineStr">
        <is>
          <t>FY2025</t>
        </is>
      </c>
      <c r="AB4" s="23" t="inlineStr">
        <is>
          <t>FY2026</t>
        </is>
      </c>
    </row>
    <row r="5" ht="14" customHeight="1">
      <c r="A5" s="7" t="inlineStr">
        <is>
          <t>Opening Cash Balance</t>
        </is>
      </c>
      <c r="C5" s="27">
        <f>Assumptions!$B$28</f>
        <v/>
      </c>
      <c r="D5" s="86">
        <f>C17</f>
        <v/>
      </c>
      <c r="E5" s="27">
        <f>C17</f>
        <v/>
      </c>
      <c r="F5" s="27">
        <f>D17</f>
        <v/>
      </c>
      <c r="G5" s="27">
        <f>E17</f>
        <v/>
      </c>
      <c r="H5" s="27">
        <f>F17</f>
        <v/>
      </c>
      <c r="I5" s="27">
        <f>G17</f>
        <v/>
      </c>
      <c r="J5" s="27">
        <f>H17</f>
        <v/>
      </c>
      <c r="K5" s="27">
        <f>I17</f>
        <v/>
      </c>
      <c r="L5" s="27">
        <f>J17</f>
        <v/>
      </c>
      <c r="M5" s="27">
        <f>K17</f>
        <v/>
      </c>
      <c r="N5" s="27">
        <f>L17</f>
        <v/>
      </c>
      <c r="O5" s="27">
        <f>M17</f>
        <v/>
      </c>
      <c r="P5" s="27">
        <f>N17</f>
        <v/>
      </c>
      <c r="Q5" s="27">
        <f>O17</f>
        <v/>
      </c>
      <c r="R5" s="27">
        <f>P17</f>
        <v/>
      </c>
      <c r="S5" s="27">
        <f>Q17</f>
        <v/>
      </c>
      <c r="T5" s="27">
        <f>R17</f>
        <v/>
      </c>
      <c r="U5" s="27">
        <f>S17</f>
        <v/>
      </c>
      <c r="V5" s="27">
        <f>T17</f>
        <v/>
      </c>
      <c r="W5" s="27">
        <f>U17</f>
        <v/>
      </c>
      <c r="X5" s="27">
        <f>V17</f>
        <v/>
      </c>
      <c r="Y5" s="27">
        <f>W17</f>
        <v/>
      </c>
      <c r="Z5" s="27">
        <f>X17</f>
        <v/>
      </c>
      <c r="AA5" s="27">
        <f>Y17</f>
        <v/>
      </c>
    </row>
    <row r="6" ht="14" customHeight="1">
      <c r="A6" s="15" t="inlineStr">
        <is>
          <t>OPERATING CASH FLOW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14" customHeight="1">
      <c r="A7" s="5" t="inlineStr">
        <is>
          <t>Net Income</t>
        </is>
      </c>
      <c r="B7" s="39" t="inlineStr"/>
      <c r="C7" s="26">
        <f>'P&amp;L'!C23</f>
        <v/>
      </c>
      <c r="D7" s="26">
        <f>'P&amp;L'!D23</f>
        <v/>
      </c>
      <c r="E7" s="26">
        <f>'P&amp;L'!E23</f>
        <v/>
      </c>
      <c r="F7" s="26">
        <f>'P&amp;L'!F23</f>
        <v/>
      </c>
      <c r="G7" s="26">
        <f>'P&amp;L'!G23</f>
        <v/>
      </c>
      <c r="H7" s="26">
        <f>'P&amp;L'!H23</f>
        <v/>
      </c>
      <c r="I7" s="26">
        <f>'P&amp;L'!I23</f>
        <v/>
      </c>
      <c r="J7" s="26">
        <f>'P&amp;L'!J23</f>
        <v/>
      </c>
      <c r="K7" s="26">
        <f>'P&amp;L'!K23</f>
        <v/>
      </c>
      <c r="L7" s="26">
        <f>'P&amp;L'!L23</f>
        <v/>
      </c>
      <c r="M7" s="26">
        <f>'P&amp;L'!M23</f>
        <v/>
      </c>
      <c r="N7" s="26">
        <f>'P&amp;L'!N23</f>
        <v/>
      </c>
      <c r="O7" s="26">
        <f>'P&amp;L'!O23</f>
        <v/>
      </c>
      <c r="P7" s="26">
        <f>'P&amp;L'!P23</f>
        <v/>
      </c>
      <c r="Q7" s="26">
        <f>'P&amp;L'!Q23</f>
        <v/>
      </c>
      <c r="R7" s="26">
        <f>'P&amp;L'!R23</f>
        <v/>
      </c>
      <c r="S7" s="26">
        <f>'P&amp;L'!S23</f>
        <v/>
      </c>
      <c r="T7" s="26">
        <f>'P&amp;L'!T23</f>
        <v/>
      </c>
      <c r="U7" s="26">
        <f>'P&amp;L'!U23</f>
        <v/>
      </c>
      <c r="V7" s="26">
        <f>'P&amp;L'!V23</f>
        <v/>
      </c>
      <c r="W7" s="26">
        <f>'P&amp;L'!W23</f>
        <v/>
      </c>
      <c r="X7" s="26">
        <f>'P&amp;L'!X23</f>
        <v/>
      </c>
      <c r="Y7" s="26">
        <f>'P&amp;L'!Y23</f>
        <v/>
      </c>
      <c r="Z7" s="26">
        <f>'P&amp;L'!Z23</f>
        <v/>
      </c>
      <c r="AA7" s="26">
        <f>SUM(C7:N7)</f>
        <v/>
      </c>
      <c r="AB7" s="26">
        <f>SUM(O7:Z7)</f>
        <v/>
      </c>
    </row>
    <row r="8" ht="14" customHeight="1">
      <c r="A8" s="8" t="inlineStr">
        <is>
          <t>Add Back: Depreciation</t>
        </is>
      </c>
      <c r="B8" s="32" t="inlineStr"/>
      <c r="C8" s="26">
        <f>-'P&amp;L'!C16</f>
        <v/>
      </c>
      <c r="D8" s="26">
        <f>-'P&amp;L'!D16</f>
        <v/>
      </c>
      <c r="E8" s="26">
        <f>-'P&amp;L'!E16</f>
        <v/>
      </c>
      <c r="F8" s="26">
        <f>-'P&amp;L'!F16</f>
        <v/>
      </c>
      <c r="G8" s="26">
        <f>-'P&amp;L'!G16</f>
        <v/>
      </c>
      <c r="H8" s="26">
        <f>-'P&amp;L'!H16</f>
        <v/>
      </c>
      <c r="I8" s="26">
        <f>-'P&amp;L'!I16</f>
        <v/>
      </c>
      <c r="J8" s="26">
        <f>-'P&amp;L'!J16</f>
        <v/>
      </c>
      <c r="K8" s="26">
        <f>-'P&amp;L'!K16</f>
        <v/>
      </c>
      <c r="L8" s="26">
        <f>-'P&amp;L'!L16</f>
        <v/>
      </c>
      <c r="M8" s="26">
        <f>-'P&amp;L'!M16</f>
        <v/>
      </c>
      <c r="N8" s="26">
        <f>-'P&amp;L'!N16</f>
        <v/>
      </c>
      <c r="O8" s="26">
        <f>-'P&amp;L'!O16</f>
        <v/>
      </c>
      <c r="P8" s="26">
        <f>-'P&amp;L'!P16</f>
        <v/>
      </c>
      <c r="Q8" s="26">
        <f>-'P&amp;L'!Q16</f>
        <v/>
      </c>
      <c r="R8" s="26">
        <f>-'P&amp;L'!R16</f>
        <v/>
      </c>
      <c r="S8" s="26">
        <f>-'P&amp;L'!S16</f>
        <v/>
      </c>
      <c r="T8" s="26">
        <f>-'P&amp;L'!T16</f>
        <v/>
      </c>
      <c r="U8" s="26">
        <f>-'P&amp;L'!U16</f>
        <v/>
      </c>
      <c r="V8" s="26">
        <f>-'P&amp;L'!V16</f>
        <v/>
      </c>
      <c r="W8" s="26">
        <f>-'P&amp;L'!W16</f>
        <v/>
      </c>
      <c r="X8" s="26">
        <f>-'P&amp;L'!X16</f>
        <v/>
      </c>
      <c r="Y8" s="26">
        <f>-'P&amp;L'!Y16</f>
        <v/>
      </c>
      <c r="Z8" s="26">
        <f>-'P&amp;L'!Z16</f>
        <v/>
      </c>
      <c r="AA8" s="26">
        <f>SUM(C8:N8)</f>
        <v/>
      </c>
      <c r="AB8" s="26">
        <f>SUM(O8:Z8)</f>
        <v/>
      </c>
    </row>
    <row r="9" ht="14" customHeight="1">
      <c r="A9" s="5" t="inlineStr">
        <is>
          <t>Change in Receivables</t>
        </is>
      </c>
      <c r="B9" s="39" t="inlineStr"/>
      <c r="C9" s="26">
        <f>-'P&amp;L'!C6*Assumptions!$B$24/30*IF(0&gt;0,1,0)</f>
        <v/>
      </c>
      <c r="D9" s="26">
        <f>-'P&amp;L'!D6*Assumptions!$B$24/30*IF(1&gt;0,1,0)</f>
        <v/>
      </c>
      <c r="E9" s="26">
        <f>-'P&amp;L'!E6*Assumptions!$B$24/30*IF(2&gt;0,1,0)</f>
        <v/>
      </c>
      <c r="F9" s="26">
        <f>-'P&amp;L'!F6*Assumptions!$B$24/30*IF(3&gt;0,1,0)</f>
        <v/>
      </c>
      <c r="G9" s="26">
        <f>-'P&amp;L'!G6*Assumptions!$B$24/30*IF(4&gt;0,1,0)</f>
        <v/>
      </c>
      <c r="H9" s="26">
        <f>-'P&amp;L'!H6*Assumptions!$B$24/30*IF(5&gt;0,1,0)</f>
        <v/>
      </c>
      <c r="I9" s="26">
        <f>-'P&amp;L'!I6*Assumptions!$B$24/30*IF(6&gt;0,1,0)</f>
        <v/>
      </c>
      <c r="J9" s="26">
        <f>-'P&amp;L'!J6*Assumptions!$B$24/30*IF(7&gt;0,1,0)</f>
        <v/>
      </c>
      <c r="K9" s="26">
        <f>-'P&amp;L'!K6*Assumptions!$B$24/30*IF(8&gt;0,1,0)</f>
        <v/>
      </c>
      <c r="L9" s="26">
        <f>-'P&amp;L'!L6*Assumptions!$B$24/30*IF(9&gt;0,1,0)</f>
        <v/>
      </c>
      <c r="M9" s="26">
        <f>-'P&amp;L'!M6*Assumptions!$B$24/30*IF(10&gt;0,1,0)</f>
        <v/>
      </c>
      <c r="N9" s="26">
        <f>-'P&amp;L'!N6*Assumptions!$B$24/30*IF(11&gt;0,1,0)</f>
        <v/>
      </c>
      <c r="O9" s="26">
        <f>-'P&amp;L'!O6*Assumptions!$B$24/30*IF(12&gt;0,1,0)</f>
        <v/>
      </c>
      <c r="P9" s="26">
        <f>-'P&amp;L'!P6*Assumptions!$B$24/30*IF(13&gt;0,1,0)</f>
        <v/>
      </c>
      <c r="Q9" s="26">
        <f>-'P&amp;L'!Q6*Assumptions!$B$24/30*IF(14&gt;0,1,0)</f>
        <v/>
      </c>
      <c r="R9" s="26">
        <f>-'P&amp;L'!R6*Assumptions!$B$24/30*IF(15&gt;0,1,0)</f>
        <v/>
      </c>
      <c r="S9" s="26">
        <f>-'P&amp;L'!S6*Assumptions!$B$24/30*IF(16&gt;0,1,0)</f>
        <v/>
      </c>
      <c r="T9" s="26">
        <f>-'P&amp;L'!T6*Assumptions!$B$24/30*IF(17&gt;0,1,0)</f>
        <v/>
      </c>
      <c r="U9" s="26">
        <f>-'P&amp;L'!U6*Assumptions!$B$24/30*IF(18&gt;0,1,0)</f>
        <v/>
      </c>
      <c r="V9" s="26">
        <f>-'P&amp;L'!V6*Assumptions!$B$24/30*IF(19&gt;0,1,0)</f>
        <v/>
      </c>
      <c r="W9" s="26">
        <f>-'P&amp;L'!W6*Assumptions!$B$24/30*IF(20&gt;0,1,0)</f>
        <v/>
      </c>
      <c r="X9" s="26">
        <f>-'P&amp;L'!X6*Assumptions!$B$24/30*IF(21&gt;0,1,0)</f>
        <v/>
      </c>
      <c r="Y9" s="26">
        <f>-'P&amp;L'!Y6*Assumptions!$B$24/30*IF(22&gt;0,1,0)</f>
        <v/>
      </c>
      <c r="Z9" s="26">
        <f>-'P&amp;L'!Z6*Assumptions!$B$24/30*IF(23&gt;0,1,0)</f>
        <v/>
      </c>
      <c r="AA9" s="26">
        <f>SUM(C9:N9)</f>
        <v/>
      </c>
      <c r="AB9" s="26">
        <f>SUM(O9:Z9)</f>
        <v/>
      </c>
    </row>
    <row r="10" ht="14" customHeight="1">
      <c r="A10" s="8" t="inlineStr">
        <is>
          <t>Change in Payables</t>
        </is>
      </c>
      <c r="B10" s="32" t="inlineStr"/>
      <c r="C10" s="26">
        <f>'P&amp;L'!C6*(Assumptions!$B$12+Assumptions!$B$11)*Assumptions!$B$25/30*IF(0&gt;0,1,0)</f>
        <v/>
      </c>
      <c r="D10" s="26">
        <f>'P&amp;L'!D6*(Assumptions!$B$12+Assumptions!$B$11)*Assumptions!$B$25/30*IF(1&gt;0,1,0)</f>
        <v/>
      </c>
      <c r="E10" s="26">
        <f>'P&amp;L'!E6*(Assumptions!$B$12+Assumptions!$B$11)*Assumptions!$B$25/30*IF(2&gt;0,1,0)</f>
        <v/>
      </c>
      <c r="F10" s="26">
        <f>'P&amp;L'!F6*(Assumptions!$B$12+Assumptions!$B$11)*Assumptions!$B$25/30*IF(3&gt;0,1,0)</f>
        <v/>
      </c>
      <c r="G10" s="26">
        <f>'P&amp;L'!G6*(Assumptions!$B$12+Assumptions!$B$11)*Assumptions!$B$25/30*IF(4&gt;0,1,0)</f>
        <v/>
      </c>
      <c r="H10" s="26">
        <f>'P&amp;L'!H6*(Assumptions!$B$12+Assumptions!$B$11)*Assumptions!$B$25/30*IF(5&gt;0,1,0)</f>
        <v/>
      </c>
      <c r="I10" s="26">
        <f>'P&amp;L'!I6*(Assumptions!$B$12+Assumptions!$B$11)*Assumptions!$B$25/30*IF(6&gt;0,1,0)</f>
        <v/>
      </c>
      <c r="J10" s="26">
        <f>'P&amp;L'!J6*(Assumptions!$B$12+Assumptions!$B$11)*Assumptions!$B$25/30*IF(7&gt;0,1,0)</f>
        <v/>
      </c>
      <c r="K10" s="26">
        <f>'P&amp;L'!K6*(Assumptions!$B$12+Assumptions!$B$11)*Assumptions!$B$25/30*IF(8&gt;0,1,0)</f>
        <v/>
      </c>
      <c r="L10" s="26">
        <f>'P&amp;L'!L6*(Assumptions!$B$12+Assumptions!$B$11)*Assumptions!$B$25/30*IF(9&gt;0,1,0)</f>
        <v/>
      </c>
      <c r="M10" s="26">
        <f>'P&amp;L'!M6*(Assumptions!$B$12+Assumptions!$B$11)*Assumptions!$B$25/30*IF(10&gt;0,1,0)</f>
        <v/>
      </c>
      <c r="N10" s="26">
        <f>'P&amp;L'!N6*(Assumptions!$B$12+Assumptions!$B$11)*Assumptions!$B$25/30*IF(11&gt;0,1,0)</f>
        <v/>
      </c>
      <c r="O10" s="26">
        <f>'P&amp;L'!O6*(Assumptions!$B$12+Assumptions!$B$11)*Assumptions!$B$25/30*IF(12&gt;0,1,0)</f>
        <v/>
      </c>
      <c r="P10" s="26">
        <f>'P&amp;L'!P6*(Assumptions!$B$12+Assumptions!$B$11)*Assumptions!$B$25/30*IF(13&gt;0,1,0)</f>
        <v/>
      </c>
      <c r="Q10" s="26">
        <f>'P&amp;L'!Q6*(Assumptions!$B$12+Assumptions!$B$11)*Assumptions!$B$25/30*IF(14&gt;0,1,0)</f>
        <v/>
      </c>
      <c r="R10" s="26">
        <f>'P&amp;L'!R6*(Assumptions!$B$12+Assumptions!$B$11)*Assumptions!$B$25/30*IF(15&gt;0,1,0)</f>
        <v/>
      </c>
      <c r="S10" s="26">
        <f>'P&amp;L'!S6*(Assumptions!$B$12+Assumptions!$B$11)*Assumptions!$B$25/30*IF(16&gt;0,1,0)</f>
        <v/>
      </c>
      <c r="T10" s="26">
        <f>'P&amp;L'!T6*(Assumptions!$B$12+Assumptions!$B$11)*Assumptions!$B$25/30*IF(17&gt;0,1,0)</f>
        <v/>
      </c>
      <c r="U10" s="26">
        <f>'P&amp;L'!U6*(Assumptions!$B$12+Assumptions!$B$11)*Assumptions!$B$25/30*IF(18&gt;0,1,0)</f>
        <v/>
      </c>
      <c r="V10" s="26">
        <f>'P&amp;L'!V6*(Assumptions!$B$12+Assumptions!$B$11)*Assumptions!$B$25/30*IF(19&gt;0,1,0)</f>
        <v/>
      </c>
      <c r="W10" s="26">
        <f>'P&amp;L'!W6*(Assumptions!$B$12+Assumptions!$B$11)*Assumptions!$B$25/30*IF(20&gt;0,1,0)</f>
        <v/>
      </c>
      <c r="X10" s="26">
        <f>'P&amp;L'!X6*(Assumptions!$B$12+Assumptions!$B$11)*Assumptions!$B$25/30*IF(21&gt;0,1,0)</f>
        <v/>
      </c>
      <c r="Y10" s="26">
        <f>'P&amp;L'!Y6*(Assumptions!$B$12+Assumptions!$B$11)*Assumptions!$B$25/30*IF(22&gt;0,1,0)</f>
        <v/>
      </c>
      <c r="Z10" s="26">
        <f>'P&amp;L'!Z6*(Assumptions!$B$12+Assumptions!$B$11)*Assumptions!$B$25/30*IF(23&gt;0,1,0)</f>
        <v/>
      </c>
      <c r="AA10" s="26">
        <f>SUM(C10:N10)</f>
        <v/>
      </c>
      <c r="AB10" s="26">
        <f>SUM(O10:Z10)</f>
        <v/>
      </c>
    </row>
    <row r="11" ht="14" customHeight="1">
      <c r="A11" s="7" t="inlineStr">
        <is>
          <t>Total Operating CF</t>
        </is>
      </c>
      <c r="B11" s="32" t="inlineStr"/>
      <c r="C11" s="27">
        <f>SUM(C7:C10)</f>
        <v/>
      </c>
      <c r="D11" s="27">
        <f>SUM(D7:D10)</f>
        <v/>
      </c>
      <c r="E11" s="27">
        <f>SUM(E7:E10)</f>
        <v/>
      </c>
      <c r="F11" s="27">
        <f>SUM(F7:F10)</f>
        <v/>
      </c>
      <c r="G11" s="27">
        <f>SUM(G7:G10)</f>
        <v/>
      </c>
      <c r="H11" s="27">
        <f>SUM(H7:H10)</f>
        <v/>
      </c>
      <c r="I11" s="27">
        <f>SUM(I7:I10)</f>
        <v/>
      </c>
      <c r="J11" s="27">
        <f>SUM(J7:J10)</f>
        <v/>
      </c>
      <c r="K11" s="27">
        <f>SUM(K7:K10)</f>
        <v/>
      </c>
      <c r="L11" s="27">
        <f>SUM(L7:L10)</f>
        <v/>
      </c>
      <c r="M11" s="27">
        <f>SUM(M7:M10)</f>
        <v/>
      </c>
      <c r="N11" s="27">
        <f>SUM(N7:N10)</f>
        <v/>
      </c>
      <c r="O11" s="27">
        <f>SUM(O7:O10)</f>
        <v/>
      </c>
      <c r="P11" s="27">
        <f>SUM(P7:P10)</f>
        <v/>
      </c>
      <c r="Q11" s="27">
        <f>SUM(Q7:Q10)</f>
        <v/>
      </c>
      <c r="R11" s="27">
        <f>SUM(R7:R10)</f>
        <v/>
      </c>
      <c r="S11" s="27">
        <f>SUM(S7:S10)</f>
        <v/>
      </c>
      <c r="T11" s="27">
        <f>SUM(T7:T10)</f>
        <v/>
      </c>
      <c r="U11" s="27">
        <f>SUM(U7:U10)</f>
        <v/>
      </c>
      <c r="V11" s="27">
        <f>SUM(V7:V10)</f>
        <v/>
      </c>
      <c r="W11" s="27">
        <f>SUM(W7:W10)</f>
        <v/>
      </c>
      <c r="X11" s="27">
        <f>SUM(X7:X10)</f>
        <v/>
      </c>
      <c r="Y11" s="27">
        <f>SUM(Y7:Y10)</f>
        <v/>
      </c>
      <c r="Z11" s="27">
        <f>SUM(Z7:Z10)</f>
        <v/>
      </c>
      <c r="AA11" s="27">
        <f>SUM(C11:N11)</f>
        <v/>
      </c>
      <c r="AB11" s="27">
        <f>SUM(O11:Z11)</f>
        <v/>
      </c>
    </row>
    <row r="12" ht="14" customHeight="1">
      <c r="A12" s="15" t="inlineStr">
        <is>
          <t>FINANCING CASH FLOW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</row>
    <row r="13" ht="14" customHeight="1">
      <c r="A13" s="5" t="inlineStr">
        <is>
          <t>Loan Repayment</t>
        </is>
      </c>
      <c r="C13" s="29">
        <f>-Assumptions!$B$31</f>
        <v/>
      </c>
      <c r="D13" s="29">
        <f>-Assumptions!$B$31</f>
        <v/>
      </c>
      <c r="E13" s="29">
        <f>-Assumptions!$B$31</f>
        <v/>
      </c>
      <c r="F13" s="29">
        <f>-Assumptions!$B$31</f>
        <v/>
      </c>
      <c r="G13" s="29">
        <f>-Assumptions!$B$31</f>
        <v/>
      </c>
      <c r="H13" s="29">
        <f>-Assumptions!$B$31</f>
        <v/>
      </c>
      <c r="I13" s="29">
        <f>-Assumptions!$B$31</f>
        <v/>
      </c>
      <c r="J13" s="29">
        <f>-Assumptions!$B$31</f>
        <v/>
      </c>
      <c r="K13" s="29">
        <f>-Assumptions!$B$31</f>
        <v/>
      </c>
      <c r="L13" s="29">
        <f>-Assumptions!$B$31</f>
        <v/>
      </c>
      <c r="M13" s="29">
        <f>-Assumptions!$B$31</f>
        <v/>
      </c>
      <c r="N13" s="29">
        <f>-Assumptions!$B$31</f>
        <v/>
      </c>
      <c r="O13" s="29">
        <f>-Assumptions!$B$31</f>
        <v/>
      </c>
      <c r="P13" s="29">
        <f>-Assumptions!$B$31</f>
        <v/>
      </c>
      <c r="Q13" s="29">
        <f>-Assumptions!$B$31</f>
        <v/>
      </c>
      <c r="R13" s="29">
        <f>-Assumptions!$B$31</f>
        <v/>
      </c>
      <c r="S13" s="29">
        <f>-Assumptions!$B$31</f>
        <v/>
      </c>
      <c r="T13" s="29">
        <f>-Assumptions!$B$31</f>
        <v/>
      </c>
      <c r="U13" s="29">
        <f>-Assumptions!$B$31</f>
        <v/>
      </c>
      <c r="V13" s="29">
        <f>-Assumptions!$B$31</f>
        <v/>
      </c>
      <c r="W13" s="29">
        <f>-Assumptions!$B$31</f>
        <v/>
      </c>
      <c r="X13" s="29">
        <f>-Assumptions!$B$31</f>
        <v/>
      </c>
      <c r="Y13" s="29">
        <f>-Assumptions!$B$31</f>
        <v/>
      </c>
      <c r="Z13" s="29">
        <f>-Assumptions!$B$31</f>
        <v/>
      </c>
      <c r="AA13" s="29">
        <f>SUM(C13:N13)</f>
        <v/>
      </c>
      <c r="AB13" s="29">
        <f>SUM(O13:Z13)</f>
        <v/>
      </c>
    </row>
    <row r="14" ht="14" customHeight="1">
      <c r="A14" s="8" t="inlineStr">
        <is>
          <t>Capex (New Location)</t>
        </is>
      </c>
      <c r="C14" s="26">
        <f>0</f>
        <v/>
      </c>
      <c r="D14" s="26">
        <f>0</f>
        <v/>
      </c>
      <c r="E14" s="26">
        <f>0</f>
        <v/>
      </c>
      <c r="F14" s="26">
        <f>0</f>
        <v/>
      </c>
      <c r="G14" s="26">
        <f>0</f>
        <v/>
      </c>
      <c r="H14" s="26">
        <f>0</f>
        <v/>
      </c>
      <c r="I14" s="26">
        <f>0</f>
        <v/>
      </c>
      <c r="J14" s="26">
        <f>0</f>
        <v/>
      </c>
      <c r="K14" s="26">
        <f>0</f>
        <v/>
      </c>
      <c r="L14" s="26">
        <f>0</f>
        <v/>
      </c>
      <c r="M14" s="26">
        <f>0</f>
        <v/>
      </c>
      <c r="N14" s="26">
        <f>0</f>
        <v/>
      </c>
      <c r="O14" s="26">
        <f>0</f>
        <v/>
      </c>
      <c r="P14" s="26">
        <f>0</f>
        <v/>
      </c>
      <c r="Q14" s="26">
        <f>0</f>
        <v/>
      </c>
      <c r="R14" s="26">
        <f>0</f>
        <v/>
      </c>
      <c r="S14" s="26">
        <f>0</f>
        <v/>
      </c>
      <c r="T14" s="26">
        <f>0</f>
        <v/>
      </c>
      <c r="U14" s="26">
        <f>0</f>
        <v/>
      </c>
      <c r="V14" s="26">
        <f>0</f>
        <v/>
      </c>
      <c r="W14" s="26">
        <f>0</f>
        <v/>
      </c>
      <c r="X14" s="26">
        <f>0</f>
        <v/>
      </c>
      <c r="Y14" s="26">
        <f>0</f>
        <v/>
      </c>
      <c r="Z14" s="26">
        <f>0</f>
        <v/>
      </c>
      <c r="AA14" s="26">
        <f>SUM(C14:N14)</f>
        <v/>
      </c>
      <c r="AB14" s="26">
        <f>SUM(O14:Z14)</f>
        <v/>
      </c>
    </row>
    <row r="15" ht="14" customHeight="1">
      <c r="A15" s="7" t="inlineStr">
        <is>
          <t>Total Financing CF</t>
        </is>
      </c>
      <c r="C15" s="33">
        <f>C13+C14</f>
        <v/>
      </c>
      <c r="D15" s="33">
        <f>D13+D14</f>
        <v/>
      </c>
      <c r="E15" s="33">
        <f>E13+E14</f>
        <v/>
      </c>
      <c r="F15" s="33">
        <f>F13+F14</f>
        <v/>
      </c>
      <c r="G15" s="33">
        <f>G13+G14</f>
        <v/>
      </c>
      <c r="H15" s="33">
        <f>H13+H14</f>
        <v/>
      </c>
      <c r="I15" s="33">
        <f>I13+I14</f>
        <v/>
      </c>
      <c r="J15" s="33">
        <f>J13+J14</f>
        <v/>
      </c>
      <c r="K15" s="33">
        <f>K13+K14</f>
        <v/>
      </c>
      <c r="L15" s="33">
        <f>L13+L14</f>
        <v/>
      </c>
      <c r="M15" s="33">
        <f>M13+M14</f>
        <v/>
      </c>
      <c r="N15" s="33">
        <f>N13+N14</f>
        <v/>
      </c>
      <c r="O15" s="33">
        <f>O13+O14</f>
        <v/>
      </c>
      <c r="P15" s="33">
        <f>P13+P14</f>
        <v/>
      </c>
      <c r="Q15" s="33">
        <f>Q13+Q14</f>
        <v/>
      </c>
      <c r="R15" s="33">
        <f>R13+R14</f>
        <v/>
      </c>
      <c r="S15" s="33">
        <f>S13+S14</f>
        <v/>
      </c>
      <c r="T15" s="33">
        <f>T13+T14</f>
        <v/>
      </c>
      <c r="U15" s="33">
        <f>U13+U14</f>
        <v/>
      </c>
      <c r="V15" s="33">
        <f>V13+V14</f>
        <v/>
      </c>
      <c r="W15" s="33">
        <f>W13+W14</f>
        <v/>
      </c>
      <c r="X15" s="33">
        <f>X13+X14</f>
        <v/>
      </c>
      <c r="Y15" s="33">
        <f>Y13+Y14</f>
        <v/>
      </c>
      <c r="Z15" s="33">
        <f>Z13+Z14</f>
        <v/>
      </c>
      <c r="AA15" s="33">
        <f>SUM(C15:N15)</f>
        <v/>
      </c>
      <c r="AB15" s="33">
        <f>SUM(O15:Z15)</f>
        <v/>
      </c>
    </row>
    <row r="16" ht="14" customHeight="1">
      <c r="A16" s="34" t="inlineStr">
        <is>
          <t>Net Cash Movement</t>
        </is>
      </c>
      <c r="C16" s="36">
        <f>C11+C15</f>
        <v/>
      </c>
      <c r="D16" s="36">
        <f>D11+D15</f>
        <v/>
      </c>
      <c r="E16" s="36">
        <f>E11+E15</f>
        <v/>
      </c>
      <c r="F16" s="36">
        <f>F11+F15</f>
        <v/>
      </c>
      <c r="G16" s="36">
        <f>G11+G15</f>
        <v/>
      </c>
      <c r="H16" s="36">
        <f>H11+H15</f>
        <v/>
      </c>
      <c r="I16" s="36">
        <f>I11+I15</f>
        <v/>
      </c>
      <c r="J16" s="36">
        <f>J11+J15</f>
        <v/>
      </c>
      <c r="K16" s="36">
        <f>K11+K15</f>
        <v/>
      </c>
      <c r="L16" s="36">
        <f>L11+L15</f>
        <v/>
      </c>
      <c r="M16" s="36">
        <f>M11+M15</f>
        <v/>
      </c>
      <c r="N16" s="36">
        <f>N11+N15</f>
        <v/>
      </c>
      <c r="O16" s="36">
        <f>O11+O15</f>
        <v/>
      </c>
      <c r="P16" s="36">
        <f>P11+P15</f>
        <v/>
      </c>
      <c r="Q16" s="36">
        <f>Q11+Q15</f>
        <v/>
      </c>
      <c r="R16" s="36">
        <f>R11+R15</f>
        <v/>
      </c>
      <c r="S16" s="36">
        <f>S11+S15</f>
        <v/>
      </c>
      <c r="T16" s="36">
        <f>T11+T15</f>
        <v/>
      </c>
      <c r="U16" s="36">
        <f>U11+U15</f>
        <v/>
      </c>
      <c r="V16" s="36">
        <f>V11+V15</f>
        <v/>
      </c>
      <c r="W16" s="36">
        <f>W11+W15</f>
        <v/>
      </c>
      <c r="X16" s="36">
        <f>X11+X15</f>
        <v/>
      </c>
      <c r="Y16" s="36">
        <f>Y11+Y15</f>
        <v/>
      </c>
      <c r="Z16" s="36">
        <f>Z11+Z15</f>
        <v/>
      </c>
      <c r="AA16" s="36">
        <f>SUM(C16:N16)</f>
        <v/>
      </c>
      <c r="AB16" s="36">
        <f>SUM(O16:Z16)</f>
        <v/>
      </c>
    </row>
    <row r="17" ht="16" customHeight="1">
      <c r="A17" s="40" t="inlineStr">
        <is>
          <t>ENDING CASH BALANCE</t>
        </is>
      </c>
      <c r="C17" s="38">
        <f>C5+C16</f>
        <v/>
      </c>
      <c r="D17" s="38">
        <f>D5+D16</f>
        <v/>
      </c>
      <c r="E17" s="38">
        <f>E5+E16</f>
        <v/>
      </c>
      <c r="F17" s="38">
        <f>F5+F16</f>
        <v/>
      </c>
      <c r="G17" s="38">
        <f>G5+G16</f>
        <v/>
      </c>
      <c r="H17" s="38">
        <f>H5+H16</f>
        <v/>
      </c>
      <c r="I17" s="38">
        <f>I5+I16</f>
        <v/>
      </c>
      <c r="J17" s="38">
        <f>J5+J16</f>
        <v/>
      </c>
      <c r="K17" s="38">
        <f>K5+K16</f>
        <v/>
      </c>
      <c r="L17" s="38">
        <f>L5+L16</f>
        <v/>
      </c>
      <c r="M17" s="38">
        <f>M5+M16</f>
        <v/>
      </c>
      <c r="N17" s="38">
        <f>N5+N16</f>
        <v/>
      </c>
      <c r="O17" s="38">
        <f>O5+O16</f>
        <v/>
      </c>
      <c r="P17" s="38">
        <f>P5+P16</f>
        <v/>
      </c>
      <c r="Q17" s="38">
        <f>Q5+Q16</f>
        <v/>
      </c>
      <c r="R17" s="38">
        <f>R5+R16</f>
        <v/>
      </c>
      <c r="S17" s="38">
        <f>S5+S16</f>
        <v/>
      </c>
      <c r="T17" s="38">
        <f>T5+T16</f>
        <v/>
      </c>
      <c r="U17" s="38">
        <f>U5+U16</f>
        <v/>
      </c>
      <c r="V17" s="38">
        <f>V5+V16</f>
        <v/>
      </c>
      <c r="W17" s="38">
        <f>W5+W16</f>
        <v/>
      </c>
      <c r="X17" s="38">
        <f>X5+X16</f>
        <v/>
      </c>
      <c r="Y17" s="38">
        <f>Y5+Y16</f>
        <v/>
      </c>
      <c r="Z17" s="38">
        <f>Z5+Z16</f>
        <v/>
      </c>
      <c r="AA17" s="38">
        <f>N17</f>
        <v/>
      </c>
      <c r="AB17" s="38">
        <f>Z17</f>
        <v/>
      </c>
    </row>
  </sheetData>
  <mergeCells count="4">
    <mergeCell ref="A2:E2"/>
    <mergeCell ref="A1:E1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 ht="24" customHeight="1">
      <c r="A1" s="10" t="inlineStr">
        <is>
          <t>BrewCo Coffee Chain — Break-Even Analysis</t>
        </is>
      </c>
    </row>
    <row r="2" ht="14" customHeight="1">
      <c r="A2" s="11" t="inlineStr">
        <is>
          <t>How many customers per day per location are needed to cover all fixed costs? Sensitivity table shows impact of ticket size changes.</t>
        </is>
      </c>
    </row>
    <row r="4" ht="15" customHeight="1">
      <c r="A4" s="15" t="inlineStr">
        <is>
          <t>SECTION 1 — BREAK-EVEN CALCULATION</t>
        </is>
      </c>
    </row>
    <row r="5" ht="15" customHeight="1">
      <c r="A5" s="4" t="inlineStr">
        <is>
          <t>Average Ticket Size (USD)</t>
        </is>
      </c>
      <c r="B5" s="41">
        <f>Assumptions!$B$7</f>
        <v/>
      </c>
    </row>
    <row r="6" ht="15" customHeight="1">
      <c r="A6" s="7" t="inlineStr">
        <is>
          <t>COGS % per Cup (incl. waste)</t>
        </is>
      </c>
      <c r="B6" s="42">
        <f>Assumptions!$B$11+Assumptions!$B$12</f>
        <v/>
      </c>
    </row>
    <row r="7" ht="15" customHeight="1">
      <c r="A7" s="4" t="inlineStr">
        <is>
          <t>Contribution per Cup (USD)</t>
        </is>
      </c>
      <c r="B7" s="41">
        <f>B6*(1-B7)</f>
        <v/>
      </c>
    </row>
    <row r="8" ht="15" customHeight="1">
      <c r="A8" s="7" t="inlineStr">
        <is>
          <t>Monthly Fixed Costs per Location (USD)</t>
        </is>
      </c>
      <c r="B8" s="37">
        <f>Assumptions!$B$15*Assumptions!$B$14+Assumptions!$B$18+Assumptions!$B$19+Assumptions!$B$21+Assumptions!$B$22</f>
        <v/>
      </c>
    </row>
    <row r="9" ht="15" customHeight="1">
      <c r="A9" s="4" t="inlineStr">
        <is>
          <t>Working Days per Month</t>
        </is>
      </c>
      <c r="B9" s="43">
        <f>26</f>
        <v/>
      </c>
    </row>
    <row r="10" ht="15" customHeight="1">
      <c r="A10" s="7" t="inlineStr">
        <is>
          <t>Break-Even Customers / Month</t>
        </is>
      </c>
      <c r="B10" s="44">
        <f>IF(B8&lt;&gt;0,B9/B8,0)</f>
        <v/>
      </c>
    </row>
    <row r="11" ht="15" customHeight="1">
      <c r="A11" s="4" t="inlineStr">
        <is>
          <t>Break-Even Customers / Day</t>
        </is>
      </c>
      <c r="B11" s="45">
        <f>IF(B11&lt;&gt;0,B12/B11,0)</f>
        <v/>
      </c>
      <c r="C11" s="46" t="inlineStr">
        <is>
          <t>← Target to hit daily</t>
        </is>
      </c>
    </row>
    <row r="12" ht="15" customHeight="1">
      <c r="A12" s="7" t="inlineStr">
        <is>
          <t>Current Avg Daily Customers (Base)</t>
        </is>
      </c>
      <c r="B12" s="44">
        <f>Assumptions!$B$6</f>
        <v/>
      </c>
      <c r="C12" s="47" t="inlineStr">
        <is>
          <t>← From Assumptions</t>
        </is>
      </c>
    </row>
    <row r="13" ht="15" customHeight="1">
      <c r="A13" s="4" t="inlineStr">
        <is>
          <t>Safety Margin (Customers above BE)</t>
        </is>
      </c>
      <c r="B13" s="43">
        <f>B14-B13</f>
        <v/>
      </c>
    </row>
    <row r="14" ht="15" customHeight="1">
      <c r="A14" s="7" t="inlineStr">
        <is>
          <t>Safety Margin %</t>
        </is>
      </c>
      <c r="B14" s="48">
        <f>IF(B14&lt;&gt;0,B15/B14,0)</f>
        <v/>
      </c>
      <c r="C14" s="47" t="inlineStr">
        <is>
          <t>← &gt;20% = healthy buffer</t>
        </is>
      </c>
    </row>
    <row r="16" ht="15" customHeight="1">
      <c r="A16" s="15" t="inlineStr">
        <is>
          <t>SECTION 2 — SENSITIVITY: BREAK-EVEN CUSTOMERS/DAY vs TICKET SIZE &amp; COGS%</t>
        </is>
      </c>
    </row>
    <row r="17" ht="15" customHeight="1">
      <c r="A17" s="49" t="inlineStr">
        <is>
          <t>Ticket Size →</t>
        </is>
      </c>
      <c r="B17" s="22" t="inlineStr">
        <is>
          <t>$5.00</t>
        </is>
      </c>
      <c r="C17" s="22" t="inlineStr">
        <is>
          <t>$5.50</t>
        </is>
      </c>
      <c r="D17" s="22" t="inlineStr">
        <is>
          <t>$6.00</t>
        </is>
      </c>
      <c r="E17" s="22" t="inlineStr">
        <is>
          <t>$6.50</t>
        </is>
      </c>
      <c r="F17" s="22" t="inlineStr">
        <is>
          <t>$7.00</t>
        </is>
      </c>
      <c r="G17" s="22" t="inlineStr">
        <is>
          <t>$7.50</t>
        </is>
      </c>
      <c r="H17" s="22" t="inlineStr">
        <is>
          <t>$8.00</t>
        </is>
      </c>
      <c r="I17" s="22" t="inlineStr">
        <is>
          <t>↓ COGS%</t>
        </is>
      </c>
    </row>
    <row r="18" ht="14" customHeight="1">
      <c r="A18" s="50" t="inlineStr">
        <is>
          <t>COGS 28%</t>
        </is>
      </c>
      <c r="B18" s="51" t="n">
        <v>215.3</v>
      </c>
      <c r="C18" s="52" t="n">
        <v>195.7</v>
      </c>
      <c r="D18" s="52" t="n">
        <v>179.4</v>
      </c>
      <c r="E18" s="52" t="n">
        <v>165.6</v>
      </c>
      <c r="F18" s="52" t="n">
        <v>153.8</v>
      </c>
      <c r="G18" s="53" t="n">
        <v>143.5</v>
      </c>
      <c r="H18" s="53" t="n">
        <v>134.5</v>
      </c>
      <c r="I18" s="17" t="inlineStr">
        <is>
          <t>Customers/day/location</t>
        </is>
      </c>
    </row>
    <row r="19" ht="14" customHeight="1">
      <c r="A19" s="50" t="inlineStr">
        <is>
          <t>COGS 30%</t>
        </is>
      </c>
      <c r="B19" s="51" t="n">
        <v>221.4</v>
      </c>
      <c r="C19" s="51" t="n">
        <v>201.3</v>
      </c>
      <c r="D19" s="52" t="n">
        <v>184.5</v>
      </c>
      <c r="E19" s="52" t="n">
        <v>170.3</v>
      </c>
      <c r="F19" s="52" t="n">
        <v>158.2</v>
      </c>
      <c r="G19" s="53" t="n">
        <v>147.6</v>
      </c>
      <c r="H19" s="53" t="n">
        <v>138.4</v>
      </c>
      <c r="I19" s="18" t="inlineStr">
        <is>
          <t>Customers/day/location</t>
        </is>
      </c>
    </row>
    <row r="20" ht="14" customHeight="1">
      <c r="A20" s="50" t="inlineStr">
        <is>
          <t>COGS 32%</t>
        </is>
      </c>
      <c r="B20" s="51" t="n">
        <v>227.9</v>
      </c>
      <c r="C20" s="51" t="n">
        <v>207.2</v>
      </c>
      <c r="D20" s="52" t="n">
        <v>190</v>
      </c>
      <c r="E20" s="52" t="n">
        <v>175.3</v>
      </c>
      <c r="F20" s="52" t="n">
        <v>162.8</v>
      </c>
      <c r="G20" s="52" t="n">
        <v>152</v>
      </c>
      <c r="H20" s="53" t="n">
        <v>142.5</v>
      </c>
      <c r="I20" s="17" t="inlineStr">
        <is>
          <t>Customers/day/location</t>
        </is>
      </c>
    </row>
    <row r="21" ht="14" customHeight="1">
      <c r="A21" s="50" t="inlineStr">
        <is>
          <t>COGS 34%</t>
        </is>
      </c>
      <c r="B21" s="51" t="n">
        <v>234.8</v>
      </c>
      <c r="C21" s="51" t="n">
        <v>213.5</v>
      </c>
      <c r="D21" s="52" t="n">
        <v>195.7</v>
      </c>
      <c r="E21" s="52" t="n">
        <v>180.7</v>
      </c>
      <c r="F21" s="52" t="n">
        <v>167.7</v>
      </c>
      <c r="G21" s="52" t="n">
        <v>156.6</v>
      </c>
      <c r="H21" s="53" t="n">
        <v>146.8</v>
      </c>
      <c r="I21" s="18" t="inlineStr">
        <is>
          <t>Customers/day/location</t>
        </is>
      </c>
    </row>
    <row r="22" ht="14" customHeight="1">
      <c r="A22" s="50" t="inlineStr">
        <is>
          <t>COGS 36%</t>
        </is>
      </c>
      <c r="B22" s="51" t="n">
        <v>242.2</v>
      </c>
      <c r="C22" s="51" t="n">
        <v>220.2</v>
      </c>
      <c r="D22" s="51" t="n">
        <v>201.8</v>
      </c>
      <c r="E22" s="52" t="n">
        <v>186.3</v>
      </c>
      <c r="F22" s="52" t="n">
        <v>173</v>
      </c>
      <c r="G22" s="52" t="n">
        <v>161.5</v>
      </c>
      <c r="H22" s="52" t="n">
        <v>151.4</v>
      </c>
      <c r="I22" s="17" t="inlineStr">
        <is>
          <t>Customers/day/location</t>
        </is>
      </c>
    </row>
    <row r="23" ht="14" customHeight="1">
      <c r="A23" s="50" t="inlineStr">
        <is>
          <t>COGS 38%</t>
        </is>
      </c>
      <c r="B23" s="51" t="n">
        <v>250</v>
      </c>
      <c r="C23" s="51" t="n">
        <v>227.3</v>
      </c>
      <c r="D23" s="51" t="n">
        <v>208.3</v>
      </c>
      <c r="E23" s="52" t="n">
        <v>192.3</v>
      </c>
      <c r="F23" s="52" t="n">
        <v>178.6</v>
      </c>
      <c r="G23" s="52" t="n">
        <v>166.7</v>
      </c>
      <c r="H23" s="52" t="n">
        <v>156.2</v>
      </c>
      <c r="I23" s="18" t="inlineStr">
        <is>
          <t>Customers/day/location</t>
        </is>
      </c>
    </row>
    <row r="25" ht="13" customHeight="1">
      <c r="A25" s="54" t="inlineStr">
        <is>
          <t>≤150</t>
        </is>
      </c>
      <c r="B25" s="55" t="inlineStr">
        <is>
          <t>Achievable — healthy</t>
        </is>
      </c>
      <c r="C25" s="85" t="n"/>
      <c r="D25" s="85" t="n"/>
      <c r="E25" s="6" t="n"/>
    </row>
    <row r="26" ht="13" customHeight="1">
      <c r="A26" s="56" t="inlineStr">
        <is>
          <t>151–200</t>
        </is>
      </c>
      <c r="B26" s="57" t="inlineStr">
        <is>
          <t>Stretch target</t>
        </is>
      </c>
      <c r="C26" s="85" t="n"/>
      <c r="D26" s="85" t="n"/>
      <c r="E26" s="6" t="n"/>
    </row>
    <row r="27" ht="13" customHeight="1">
      <c r="A27" s="58" t="inlineStr">
        <is>
          <t>&gt;200</t>
        </is>
      </c>
      <c r="B27" s="59" t="inlineStr">
        <is>
          <t>Very difficult — review cost structure</t>
        </is>
      </c>
      <c r="C27" s="85" t="n"/>
      <c r="D27" s="85" t="n"/>
      <c r="E27" s="6" t="n"/>
    </row>
  </sheetData>
  <mergeCells count="7">
    <mergeCell ref="B26:E26"/>
    <mergeCell ref="B27:E27"/>
    <mergeCell ref="A4:E4"/>
    <mergeCell ref="A2:E2"/>
    <mergeCell ref="A16:E16"/>
    <mergeCell ref="A1:E1"/>
    <mergeCell ref="B25:E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4" customHeight="1">
      <c r="A1" s="10" t="inlineStr">
        <is>
          <t>BrewCo Coffee Chain — KPI Dashboard | FY2025–FY2026</t>
        </is>
      </c>
    </row>
    <row r="2" ht="14" customHeight="1">
      <c r="A2" s="11" t="inlineStr">
        <is>
          <t>All KPIs auto-update when Assumptions change. Green = on track | Red = attention needed.</t>
        </is>
      </c>
    </row>
    <row r="4" ht="15" customHeight="1">
      <c r="A4" s="15" t="inlineStr">
        <is>
          <t>KEY PERFORMANCE INDICATORS — MONTHLY TREND</t>
        </is>
      </c>
    </row>
    <row r="5" ht="15" customHeight="1">
      <c r="A5" s="21" t="inlineStr">
        <is>
          <t>KPI</t>
        </is>
      </c>
      <c r="B5" s="60" t="inlineStr">
        <is>
          <t>Jan-25</t>
        </is>
      </c>
      <c r="C5" s="60" t="inlineStr">
        <is>
          <t>Feb-25</t>
        </is>
      </c>
      <c r="D5" s="60" t="inlineStr">
        <is>
          <t>Mar-25</t>
        </is>
      </c>
      <c r="E5" s="60" t="inlineStr">
        <is>
          <t>Apr-25</t>
        </is>
      </c>
      <c r="F5" s="60" t="inlineStr">
        <is>
          <t>May-25</t>
        </is>
      </c>
      <c r="G5" s="60" t="inlineStr">
        <is>
          <t>Jun-25</t>
        </is>
      </c>
      <c r="H5" s="60" t="inlineStr">
        <is>
          <t>Jul-25</t>
        </is>
      </c>
      <c r="I5" s="60" t="inlineStr">
        <is>
          <t>Aug-25</t>
        </is>
      </c>
      <c r="J5" s="60" t="inlineStr">
        <is>
          <t>Sep-25</t>
        </is>
      </c>
      <c r="K5" s="60" t="inlineStr">
        <is>
          <t>Oct-25</t>
        </is>
      </c>
      <c r="L5" s="60" t="inlineStr">
        <is>
          <t>Nov-25</t>
        </is>
      </c>
      <c r="M5" s="60" t="inlineStr">
        <is>
          <t>Dec-25</t>
        </is>
      </c>
      <c r="N5" s="23" t="inlineStr">
        <is>
          <t>FY2025</t>
        </is>
      </c>
    </row>
    <row r="6" ht="14" customHeight="1">
      <c r="A6" s="7" t="inlineStr">
        <is>
          <t>Monthly Revenue ($)</t>
        </is>
      </c>
      <c r="B6" s="37">
        <f>'P&amp;L'!C6</f>
        <v/>
      </c>
      <c r="C6" s="37">
        <f>'P&amp;L'!D6</f>
        <v/>
      </c>
      <c r="D6" s="37">
        <f>'P&amp;L'!E6</f>
        <v/>
      </c>
      <c r="E6" s="37">
        <f>'P&amp;L'!F6</f>
        <v/>
      </c>
      <c r="F6" s="37">
        <f>'P&amp;L'!G6</f>
        <v/>
      </c>
      <c r="G6" s="37">
        <f>'P&amp;L'!H6</f>
        <v/>
      </c>
      <c r="H6" s="37">
        <f>'P&amp;L'!I6</f>
        <v/>
      </c>
      <c r="I6" s="37">
        <f>'P&amp;L'!J6</f>
        <v/>
      </c>
      <c r="J6" s="37">
        <f>'P&amp;L'!K6</f>
        <v/>
      </c>
      <c r="K6" s="37">
        <f>'P&amp;L'!L6</f>
        <v/>
      </c>
      <c r="L6" s="37">
        <f>'P&amp;L'!M6</f>
        <v/>
      </c>
      <c r="M6" s="37">
        <f>'P&amp;L'!N6</f>
        <v/>
      </c>
      <c r="N6" s="38">
        <f>'P&amp;L'!AA6</f>
        <v/>
      </c>
    </row>
    <row r="7" ht="14" customHeight="1">
      <c r="A7" s="4" t="inlineStr">
        <is>
          <t>Gross Profit ($)</t>
        </is>
      </c>
      <c r="B7" s="26">
        <f>'P&amp;L'!C8</f>
        <v/>
      </c>
      <c r="C7" s="26">
        <f>'P&amp;L'!D8</f>
        <v/>
      </c>
      <c r="D7" s="26">
        <f>'P&amp;L'!E8</f>
        <v/>
      </c>
      <c r="E7" s="26">
        <f>'P&amp;L'!F8</f>
        <v/>
      </c>
      <c r="F7" s="26">
        <f>'P&amp;L'!G8</f>
        <v/>
      </c>
      <c r="G7" s="26">
        <f>'P&amp;L'!H8</f>
        <v/>
      </c>
      <c r="H7" s="26">
        <f>'P&amp;L'!I8</f>
        <v/>
      </c>
      <c r="I7" s="26">
        <f>'P&amp;L'!J8</f>
        <v/>
      </c>
      <c r="J7" s="26">
        <f>'P&amp;L'!K8</f>
        <v/>
      </c>
      <c r="K7" s="26">
        <f>'P&amp;L'!L8</f>
        <v/>
      </c>
      <c r="L7" s="26">
        <f>'P&amp;L'!M8</f>
        <v/>
      </c>
      <c r="M7" s="26">
        <f>'P&amp;L'!N8</f>
        <v/>
      </c>
      <c r="N7" s="38">
        <f>'P&amp;L'!AA8</f>
        <v/>
      </c>
    </row>
    <row r="8" ht="14" customHeight="1">
      <c r="A8" s="7" t="inlineStr">
        <is>
          <t>EBITDA ($)</t>
        </is>
      </c>
      <c r="B8" s="37">
        <f>'P&amp;L'!C18</f>
        <v/>
      </c>
      <c r="C8" s="37">
        <f>'P&amp;L'!D18</f>
        <v/>
      </c>
      <c r="D8" s="37">
        <f>'P&amp;L'!E18</f>
        <v/>
      </c>
      <c r="E8" s="37">
        <f>'P&amp;L'!F18</f>
        <v/>
      </c>
      <c r="F8" s="37">
        <f>'P&amp;L'!G18</f>
        <v/>
      </c>
      <c r="G8" s="37">
        <f>'P&amp;L'!H18</f>
        <v/>
      </c>
      <c r="H8" s="37">
        <f>'P&amp;L'!I18</f>
        <v/>
      </c>
      <c r="I8" s="37">
        <f>'P&amp;L'!J18</f>
        <v/>
      </c>
      <c r="J8" s="37">
        <f>'P&amp;L'!K18</f>
        <v/>
      </c>
      <c r="K8" s="37">
        <f>'P&amp;L'!L18</f>
        <v/>
      </c>
      <c r="L8" s="37">
        <f>'P&amp;L'!M18</f>
        <v/>
      </c>
      <c r="M8" s="37">
        <f>'P&amp;L'!N18</f>
        <v/>
      </c>
      <c r="N8" s="38">
        <f>'P&amp;L'!AA18</f>
        <v/>
      </c>
    </row>
    <row r="9" ht="14" customHeight="1">
      <c r="A9" s="4" t="inlineStr">
        <is>
          <t>Net Income ($)</t>
        </is>
      </c>
      <c r="B9" s="26">
        <f>'P&amp;L'!C23</f>
        <v/>
      </c>
      <c r="C9" s="26">
        <f>'P&amp;L'!D23</f>
        <v/>
      </c>
      <c r="D9" s="26">
        <f>'P&amp;L'!E23</f>
        <v/>
      </c>
      <c r="E9" s="26">
        <f>'P&amp;L'!F23</f>
        <v/>
      </c>
      <c r="F9" s="26">
        <f>'P&amp;L'!G23</f>
        <v/>
      </c>
      <c r="G9" s="26">
        <f>'P&amp;L'!H23</f>
        <v/>
      </c>
      <c r="H9" s="26">
        <f>'P&amp;L'!I23</f>
        <v/>
      </c>
      <c r="I9" s="26">
        <f>'P&amp;L'!J23</f>
        <v/>
      </c>
      <c r="J9" s="26">
        <f>'P&amp;L'!K23</f>
        <v/>
      </c>
      <c r="K9" s="26">
        <f>'P&amp;L'!L23</f>
        <v/>
      </c>
      <c r="L9" s="26">
        <f>'P&amp;L'!M23</f>
        <v/>
      </c>
      <c r="M9" s="26">
        <f>'P&amp;L'!N23</f>
        <v/>
      </c>
      <c r="N9" s="38">
        <f>'P&amp;L'!AA23</f>
        <v/>
      </c>
    </row>
    <row r="10" ht="14" customHeight="1">
      <c r="A10" s="7" t="inlineStr">
        <is>
          <t>Ending Cash ($)</t>
        </is>
      </c>
      <c r="B10" s="37">
        <f>'Cash_Flow'!C17</f>
        <v/>
      </c>
      <c r="C10" s="37">
        <f>'Cash_Flow'!D17</f>
        <v/>
      </c>
      <c r="D10" s="37">
        <f>'Cash_Flow'!E17</f>
        <v/>
      </c>
      <c r="E10" s="37">
        <f>'Cash_Flow'!F17</f>
        <v/>
      </c>
      <c r="F10" s="37">
        <f>'Cash_Flow'!G17</f>
        <v/>
      </c>
      <c r="G10" s="37">
        <f>'Cash_Flow'!H17</f>
        <v/>
      </c>
      <c r="H10" s="37">
        <f>'Cash_Flow'!I17</f>
        <v/>
      </c>
      <c r="I10" s="37">
        <f>'Cash_Flow'!J17</f>
        <v/>
      </c>
      <c r="J10" s="37">
        <f>'Cash_Flow'!K17</f>
        <v/>
      </c>
      <c r="K10" s="37">
        <f>'Cash_Flow'!L17</f>
        <v/>
      </c>
      <c r="L10" s="37">
        <f>'Cash_Flow'!M17</f>
        <v/>
      </c>
      <c r="M10" s="37">
        <f>'Cash_Flow'!N17</f>
        <v/>
      </c>
      <c r="N10" s="38">
        <f>'Cash_Flow'!AA17</f>
        <v/>
      </c>
    </row>
    <row r="11" ht="14" customHeight="1">
      <c r="A11" s="61" t="inlineStr">
        <is>
          <t>Gross Margin %</t>
        </is>
      </c>
      <c r="B11" s="31">
        <f>IF('P&amp;L'!C6&lt;&gt;0,'P&amp;L'!C8/'P&amp;L'!C6,0)</f>
        <v/>
      </c>
      <c r="C11" s="31">
        <f>IF('P&amp;L'!D6&lt;&gt;0,'P&amp;L'!D8/'P&amp;L'!D6,0)</f>
        <v/>
      </c>
      <c r="D11" s="31">
        <f>IF('P&amp;L'!E6&lt;&gt;0,'P&amp;L'!E8/'P&amp;L'!E6,0)</f>
        <v/>
      </c>
      <c r="E11" s="31">
        <f>IF('P&amp;L'!F6&lt;&gt;0,'P&amp;L'!F8/'P&amp;L'!F6,0)</f>
        <v/>
      </c>
      <c r="F11" s="31">
        <f>IF('P&amp;L'!G6&lt;&gt;0,'P&amp;L'!G8/'P&amp;L'!G6,0)</f>
        <v/>
      </c>
      <c r="G11" s="31">
        <f>IF('P&amp;L'!H6&lt;&gt;0,'P&amp;L'!H8/'P&amp;L'!H6,0)</f>
        <v/>
      </c>
      <c r="H11" s="31">
        <f>IF('P&amp;L'!I6&lt;&gt;0,'P&amp;L'!I8/'P&amp;L'!I6,0)</f>
        <v/>
      </c>
      <c r="I11" s="31">
        <f>IF('P&amp;L'!J6&lt;&gt;0,'P&amp;L'!J8/'P&amp;L'!J6,0)</f>
        <v/>
      </c>
      <c r="J11" s="31">
        <f>IF('P&amp;L'!K6&lt;&gt;0,'P&amp;L'!K8/'P&amp;L'!K6,0)</f>
        <v/>
      </c>
      <c r="K11" s="31">
        <f>IF('P&amp;L'!L6&lt;&gt;0,'P&amp;L'!L8/'P&amp;L'!L6,0)</f>
        <v/>
      </c>
      <c r="L11" s="31">
        <f>IF('P&amp;L'!M6&lt;&gt;0,'P&amp;L'!M8/'P&amp;L'!M6,0)</f>
        <v/>
      </c>
      <c r="M11" s="31">
        <f>IF('P&amp;L'!N6&lt;&gt;0,'P&amp;L'!N8/'P&amp;L'!N6,0)</f>
        <v/>
      </c>
      <c r="N11" s="62">
        <f>IF('P&amp;L'!AA6&lt;&gt;0,'P&amp;L'!AA8/'P&amp;L'!AA6,0)</f>
        <v/>
      </c>
    </row>
    <row r="12" ht="14" customHeight="1">
      <c r="A12" s="63" t="inlineStr">
        <is>
          <t>EBITDA Margin %</t>
        </is>
      </c>
      <c r="B12" s="64">
        <f>IF('P&amp;L'!C6&lt;&gt;0,'P&amp;L'!C18/'P&amp;L'!C6,0)</f>
        <v/>
      </c>
      <c r="C12" s="64">
        <f>IF('P&amp;L'!D6&lt;&gt;0,'P&amp;L'!D18/'P&amp;L'!D6,0)</f>
        <v/>
      </c>
      <c r="D12" s="64">
        <f>IF('P&amp;L'!E6&lt;&gt;0,'P&amp;L'!E18/'P&amp;L'!E6,0)</f>
        <v/>
      </c>
      <c r="E12" s="64">
        <f>IF('P&amp;L'!F6&lt;&gt;0,'P&amp;L'!F18/'P&amp;L'!F6,0)</f>
        <v/>
      </c>
      <c r="F12" s="64">
        <f>IF('P&amp;L'!G6&lt;&gt;0,'P&amp;L'!G18/'P&amp;L'!G6,0)</f>
        <v/>
      </c>
      <c r="G12" s="64">
        <f>IF('P&amp;L'!H6&lt;&gt;0,'P&amp;L'!H18/'P&amp;L'!H6,0)</f>
        <v/>
      </c>
      <c r="H12" s="64">
        <f>IF('P&amp;L'!I6&lt;&gt;0,'P&amp;L'!I18/'P&amp;L'!I6,0)</f>
        <v/>
      </c>
      <c r="I12" s="64">
        <f>IF('P&amp;L'!J6&lt;&gt;0,'P&amp;L'!J18/'P&amp;L'!J6,0)</f>
        <v/>
      </c>
      <c r="J12" s="64">
        <f>IF('P&amp;L'!K6&lt;&gt;0,'P&amp;L'!K18/'P&amp;L'!K6,0)</f>
        <v/>
      </c>
      <c r="K12" s="64">
        <f>IF('P&amp;L'!L6&lt;&gt;0,'P&amp;L'!L18/'P&amp;L'!L6,0)</f>
        <v/>
      </c>
      <c r="L12" s="64">
        <f>IF('P&amp;L'!M6&lt;&gt;0,'P&amp;L'!M18/'P&amp;L'!M6,0)</f>
        <v/>
      </c>
      <c r="M12" s="64">
        <f>IF('P&amp;L'!N6&lt;&gt;0,'P&amp;L'!N18/'P&amp;L'!N6,0)</f>
        <v/>
      </c>
      <c r="N12" s="62">
        <f>IF('P&amp;L'!AA6&lt;&gt;0,'P&amp;L'!AA18/'P&amp;L'!AA6,0)</f>
        <v/>
      </c>
    </row>
    <row r="13" ht="14" customHeight="1">
      <c r="A13" s="61" t="inlineStr">
        <is>
          <t>Net Margin %</t>
        </is>
      </c>
      <c r="B13" s="31">
        <f>IF('P&amp;L'!C6&lt;&gt;0,'P&amp;L'!C23/'P&amp;L'!C6,0)</f>
        <v/>
      </c>
      <c r="C13" s="31">
        <f>IF('P&amp;L'!D6&lt;&gt;0,'P&amp;L'!D23/'P&amp;L'!D6,0)</f>
        <v/>
      </c>
      <c r="D13" s="31">
        <f>IF('P&amp;L'!E6&lt;&gt;0,'P&amp;L'!E23/'P&amp;L'!E6,0)</f>
        <v/>
      </c>
      <c r="E13" s="31">
        <f>IF('P&amp;L'!F6&lt;&gt;0,'P&amp;L'!F23/'P&amp;L'!F6,0)</f>
        <v/>
      </c>
      <c r="F13" s="31">
        <f>IF('P&amp;L'!G6&lt;&gt;0,'P&amp;L'!G23/'P&amp;L'!G6,0)</f>
        <v/>
      </c>
      <c r="G13" s="31">
        <f>IF('P&amp;L'!H6&lt;&gt;0,'P&amp;L'!H23/'P&amp;L'!H6,0)</f>
        <v/>
      </c>
      <c r="H13" s="31">
        <f>IF('P&amp;L'!I6&lt;&gt;0,'P&amp;L'!I23/'P&amp;L'!I6,0)</f>
        <v/>
      </c>
      <c r="I13" s="31">
        <f>IF('P&amp;L'!J6&lt;&gt;0,'P&amp;L'!J23/'P&amp;L'!J6,0)</f>
        <v/>
      </c>
      <c r="J13" s="31">
        <f>IF('P&amp;L'!K6&lt;&gt;0,'P&amp;L'!K23/'P&amp;L'!K6,0)</f>
        <v/>
      </c>
      <c r="K13" s="31">
        <f>IF('P&amp;L'!L6&lt;&gt;0,'P&amp;L'!L23/'P&amp;L'!L6,0)</f>
        <v/>
      </c>
      <c r="L13" s="31">
        <f>IF('P&amp;L'!M6&lt;&gt;0,'P&amp;L'!M23/'P&amp;L'!M6,0)</f>
        <v/>
      </c>
      <c r="M13" s="31">
        <f>IF('P&amp;L'!N6&lt;&gt;0,'P&amp;L'!N23/'P&amp;L'!N6,0)</f>
        <v/>
      </c>
      <c r="N13" s="62">
        <f>IF('P&amp;L'!AA6&lt;&gt;0,'P&amp;L'!AA23/'P&amp;L'!AA6,0)</f>
        <v/>
      </c>
    </row>
  </sheetData>
  <mergeCells count="3">
    <mergeCell ref="A2:E2"/>
    <mergeCell ref="A4:N4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0" t="inlineStr">
        <is>
          <t>BrewCo Coffee Chain — Scenario Analysis | Base vs Growth vs Conservative</t>
        </is>
      </c>
    </row>
    <row r="2" ht="14" customHeight="1">
      <c r="A2" s="11" t="inlineStr">
        <is>
          <t>Results calculated from Assumptions sheet (columns B/C/D). Switch scenarios by updating Assumptions sheet.</t>
        </is>
      </c>
    </row>
    <row r="4" ht="16" customHeight="1">
      <c r="A4" s="21" t="inlineStr">
        <is>
          <t>Metric</t>
        </is>
      </c>
      <c r="B4" s="22" t="inlineStr">
        <is>
          <t>Unit</t>
        </is>
      </c>
      <c r="C4" s="22" t="inlineStr">
        <is>
          <t>Base Case</t>
        </is>
      </c>
      <c r="D4" s="13" t="inlineStr">
        <is>
          <t>Growth Case</t>
        </is>
      </c>
      <c r="E4" s="14" t="inlineStr">
        <is>
          <t>Conservative</t>
        </is>
      </c>
      <c r="F4" s="65" t="inlineStr">
        <is>
          <t>Growth vs Base</t>
        </is>
      </c>
      <c r="G4" s="65" t="inlineStr">
        <is>
          <t>Cons vs Base</t>
        </is>
      </c>
    </row>
    <row r="5" ht="15" customHeight="1">
      <c r="A5" s="15" t="inlineStr">
        <is>
          <t>SECTION 1 — KEY ASSUMPTION COMPARISON</t>
        </is>
      </c>
    </row>
    <row r="6" ht="14" customHeight="1">
      <c r="A6" s="7" t="inlineStr">
        <is>
          <t>Daily Customers / Location</t>
        </is>
      </c>
      <c r="B6" s="66" t="inlineStr">
        <is>
          <t>#</t>
        </is>
      </c>
      <c r="C6" s="16">
        <f>Assumptions!$B$6</f>
        <v/>
      </c>
      <c r="D6" s="67">
        <f>Assumptions!$C$6</f>
        <v/>
      </c>
      <c r="E6" s="68">
        <f>Assumptions!$D$6</f>
        <v/>
      </c>
      <c r="F6" s="69">
        <f>IF(Assumptions!$B$6&lt;&gt;0,(Assumptions!$C$6-Assumptions!$B$6)/Assumptions!$B$6,0)</f>
        <v/>
      </c>
      <c r="G6" s="69">
        <f>IF(Assumptions!$B$6&lt;&gt;0,(Assumptions!$D$6-Assumptions!$B$6)/Assumptions!$B$6,0)</f>
        <v/>
      </c>
    </row>
    <row r="7" ht="14" customHeight="1">
      <c r="A7" s="4" t="inlineStr">
        <is>
          <t>Avg Ticket Size (USD)</t>
        </is>
      </c>
      <c r="B7" s="70" t="inlineStr">
        <is>
          <t>$</t>
        </is>
      </c>
      <c r="C7" s="71">
        <f>Assumptions!$B$7</f>
        <v/>
      </c>
      <c r="D7" s="72">
        <f>Assumptions!$C$7</f>
        <v/>
      </c>
      <c r="E7" s="73">
        <f>Assumptions!$D$7</f>
        <v/>
      </c>
      <c r="F7" s="69">
        <f>IF(Assumptions!$B$7&lt;&gt;0,(Assumptions!$C$7-Assumptions!$B$7)/Assumptions!$B$7,0)</f>
        <v/>
      </c>
      <c r="G7" s="69">
        <f>IF(Assumptions!$B$7&lt;&gt;0,(Assumptions!$D$7-Assumptions!$B$7)/Assumptions!$B$7,0)</f>
        <v/>
      </c>
    </row>
    <row r="8" ht="14" customHeight="1">
      <c r="A8" s="7" t="inlineStr">
        <is>
          <t>Monthly Growth Rate</t>
        </is>
      </c>
      <c r="B8" s="66" t="inlineStr">
        <is>
          <t>%</t>
        </is>
      </c>
      <c r="C8" s="20">
        <f>Assumptions!$B$8</f>
        <v/>
      </c>
      <c r="D8" s="74">
        <f>Assumptions!$C$8</f>
        <v/>
      </c>
      <c r="E8" s="75">
        <f>Assumptions!$D$8</f>
        <v/>
      </c>
      <c r="F8" s="69">
        <f>IF(Assumptions!$B$8&lt;&gt;0,(Assumptions!$C$8-Assumptions!$B$8)/Assumptions!$B$8,0)</f>
        <v/>
      </c>
      <c r="G8" s="69">
        <f>IF(Assumptions!$B$8&lt;&gt;0,(Assumptions!$D$8-Assumptions!$B$8)/Assumptions!$B$8,0)</f>
        <v/>
      </c>
    </row>
    <row r="9" ht="14" customHeight="1">
      <c r="A9" s="4" t="inlineStr">
        <is>
          <t>COGS % Revenue</t>
        </is>
      </c>
      <c r="B9" s="70" t="inlineStr">
        <is>
          <t>%</t>
        </is>
      </c>
      <c r="C9" s="20">
        <f>Assumptions!$B$11</f>
        <v/>
      </c>
      <c r="D9" s="74">
        <f>Assumptions!$C$11</f>
        <v/>
      </c>
      <c r="E9" s="75">
        <f>Assumptions!$D$11</f>
        <v/>
      </c>
      <c r="F9" s="69">
        <f>IF(Assumptions!$B$11&lt;&gt;0,(Assumptions!$C$11-Assumptions!$B$11)/Assumptions!$B$11,0)</f>
        <v/>
      </c>
      <c r="G9" s="69">
        <f>IF(Assumptions!$B$11&lt;&gt;0,(Assumptions!$D$11-Assumptions!$B$11)/Assumptions!$B$11,0)</f>
        <v/>
      </c>
    </row>
    <row r="10" ht="14" customHeight="1">
      <c r="A10" s="7" t="inlineStr">
        <is>
          <t>Staff / Location</t>
        </is>
      </c>
      <c r="B10" s="66" t="inlineStr">
        <is>
          <t>#</t>
        </is>
      </c>
      <c r="C10" s="16">
        <f>Assumptions!$B$14</f>
        <v/>
      </c>
      <c r="D10" s="67">
        <f>Assumptions!$C$14</f>
        <v/>
      </c>
      <c r="E10" s="68">
        <f>Assumptions!$D$14</f>
        <v/>
      </c>
      <c r="F10" s="69">
        <f>IF(Assumptions!$B$14&lt;&gt;0,(Assumptions!$C$14-Assumptions!$B$14)/Assumptions!$B$14,0)</f>
        <v/>
      </c>
      <c r="G10" s="69">
        <f>IF(Assumptions!$B$14&lt;&gt;0,(Assumptions!$D$14-Assumptions!$B$14)/Assumptions!$B$14,0)</f>
        <v/>
      </c>
    </row>
    <row r="11" ht="14" customHeight="1">
      <c r="A11" s="4" t="inlineStr">
        <is>
          <t>Monthly Salary / Staff</t>
        </is>
      </c>
      <c r="B11" s="70" t="inlineStr">
        <is>
          <t>$</t>
        </is>
      </c>
      <c r="C11" s="19">
        <f>Assumptions!$B$15</f>
        <v/>
      </c>
      <c r="D11" s="76">
        <f>Assumptions!$C$15</f>
        <v/>
      </c>
      <c r="E11" s="77">
        <f>Assumptions!$D$15</f>
        <v/>
      </c>
      <c r="F11" s="69">
        <f>IF(Assumptions!$B$15&lt;&gt;0,(Assumptions!$C$15-Assumptions!$B$15)/Assumptions!$B$15,0)</f>
        <v/>
      </c>
      <c r="G11" s="69">
        <f>IF(Assumptions!$B$15&lt;&gt;0,(Assumptions!$D$15-Assumptions!$B$15)/Assumptions!$B$15,0)</f>
        <v/>
      </c>
    </row>
    <row r="12" ht="14" customHeight="1">
      <c r="A12" s="7" t="inlineStr">
        <is>
          <t>Rent / Location / Month</t>
        </is>
      </c>
      <c r="B12" s="66" t="inlineStr">
        <is>
          <t>$</t>
        </is>
      </c>
      <c r="C12" s="19">
        <f>Assumptions!$B$18</f>
        <v/>
      </c>
      <c r="D12" s="76">
        <f>Assumptions!$C$18</f>
        <v/>
      </c>
      <c r="E12" s="77">
        <f>Assumptions!$D$18</f>
        <v/>
      </c>
      <c r="F12" s="69">
        <f>IF(Assumptions!$B$18&lt;&gt;0,(Assumptions!$C$18-Assumptions!$B$18)/Assumptions!$B$18,0)</f>
        <v/>
      </c>
      <c r="G12" s="69">
        <f>IF(Assumptions!$B$18&lt;&gt;0,(Assumptions!$D$18-Assumptions!$B$18)/Assumptions!$B$18,0)</f>
        <v/>
      </c>
    </row>
    <row r="13" ht="14" customHeight="1">
      <c r="A13" s="4" t="inlineStr">
        <is>
          <t>Marketing % Revenue</t>
        </is>
      </c>
      <c r="B13" s="70" t="inlineStr">
        <is>
          <t>%</t>
        </is>
      </c>
      <c r="C13" s="20">
        <f>Assumptions!$B$20</f>
        <v/>
      </c>
      <c r="D13" s="74">
        <f>Assumptions!$C$20</f>
        <v/>
      </c>
      <c r="E13" s="75">
        <f>Assumptions!$D$20</f>
        <v/>
      </c>
      <c r="F13" s="69">
        <f>IF(Assumptions!$B$20&lt;&gt;0,(Assumptions!$C$20-Assumptions!$B$20)/Assumptions!$B$20,0)</f>
        <v/>
      </c>
      <c r="G13" s="69">
        <f>IF(Assumptions!$B$20&lt;&gt;0,(Assumptions!$D$20-Assumptions!$B$20)/Assumptions!$B$20,0)</f>
        <v/>
      </c>
    </row>
    <row r="15" ht="15" customHeight="1">
      <c r="A15" s="15" t="inlineStr">
        <is>
          <t>SECTION 2 — FINANCIAL OUTPUT (FY2025, Base = current Assumptions)</t>
        </is>
      </c>
    </row>
    <row r="16" ht="28" customHeight="1">
      <c r="A16" s="78" t="inlineStr">
        <is>
          <t>Note: Base = current P&amp;L output. Growth &amp; Conservative are illustrative estimates based on assumption delta. To model each scenario precisely: copy Assumptions col C or D over col B, then re-run P&amp;L. This section shows the directional impact.</t>
        </is>
      </c>
    </row>
    <row r="17" ht="14" customHeight="1">
      <c r="A17" s="4" t="inlineStr">
        <is>
          <t>FY2025 Revenue</t>
        </is>
      </c>
      <c r="B17" s="70" t="inlineStr">
        <is>
          <t>$</t>
        </is>
      </c>
      <c r="C17" s="79">
        <f>'P&amp;L'!AA6</f>
        <v/>
      </c>
      <c r="D17" s="80">
        <f>C17*1.1</f>
        <v/>
      </c>
      <c r="E17" s="81">
        <f>C17*0.85</f>
        <v/>
      </c>
      <c r="F17" s="69">
        <f>IF(C17&lt;&gt;0,(D17-C17)/ABS(C17),0)</f>
        <v/>
      </c>
      <c r="G17" s="82">
        <f>IF(C17&lt;&gt;0,(E17-C17)/ABS(C17),0)</f>
        <v/>
      </c>
    </row>
    <row r="18" ht="14" customHeight="1">
      <c r="A18" s="7" t="inlineStr">
        <is>
          <t>FY2025 Gross Profit</t>
        </is>
      </c>
      <c r="B18" s="66" t="inlineStr">
        <is>
          <t>$</t>
        </is>
      </c>
      <c r="C18" s="79">
        <f>'P&amp;L'!AA8</f>
        <v/>
      </c>
      <c r="D18" s="80">
        <f>C18*1.12</f>
        <v/>
      </c>
      <c r="E18" s="81">
        <f>C18*0.8</f>
        <v/>
      </c>
      <c r="F18" s="69">
        <f>IF(C18&lt;&gt;0,(D18-C18)/ABS(C18),0)</f>
        <v/>
      </c>
      <c r="G18" s="82">
        <f>IF(C18&lt;&gt;0,(E18-C18)/ABS(C18),0)</f>
        <v/>
      </c>
    </row>
    <row r="19" ht="14" customHeight="1">
      <c r="A19" s="4" t="inlineStr">
        <is>
          <t>FY2025 Gross Margin %</t>
        </is>
      </c>
      <c r="B19" s="70" t="inlineStr">
        <is>
          <t>%</t>
        </is>
      </c>
      <c r="C19" s="83">
        <f>IF('P&amp;L'!AA6&lt;&gt;0,'P&amp;L'!AA8/'P&amp;L'!AA6,0)</f>
        <v/>
      </c>
      <c r="D19" s="84" t="inlineStr">
        <is>
          <t>—</t>
        </is>
      </c>
      <c r="E19" s="84" t="inlineStr">
        <is>
          <t>—</t>
        </is>
      </c>
      <c r="F19" s="84" t="inlineStr">
        <is>
          <t>—</t>
        </is>
      </c>
      <c r="G19" s="84" t="inlineStr">
        <is>
          <t>—</t>
        </is>
      </c>
    </row>
    <row r="20" ht="14" customHeight="1">
      <c r="A20" s="7" t="inlineStr">
        <is>
          <t>FY2025 EBITDA</t>
        </is>
      </c>
      <c r="B20" s="66" t="inlineStr">
        <is>
          <t>$</t>
        </is>
      </c>
      <c r="C20" s="79">
        <f>'P&amp;L'!AA18</f>
        <v/>
      </c>
      <c r="D20" s="80">
        <f>C20*1.18</f>
        <v/>
      </c>
      <c r="E20" s="81">
        <f>C20*0.7</f>
        <v/>
      </c>
      <c r="F20" s="69">
        <f>IF(C20&lt;&gt;0,(D20-C20)/ABS(C20),0)</f>
        <v/>
      </c>
      <c r="G20" s="82">
        <f>IF(C20&lt;&gt;0,(E20-C20)/ABS(C20),0)</f>
        <v/>
      </c>
    </row>
    <row r="21" ht="14" customHeight="1">
      <c r="A21" s="4" t="inlineStr">
        <is>
          <t>FY2025 EBITDA Margin %</t>
        </is>
      </c>
      <c r="B21" s="70" t="inlineStr">
        <is>
          <t>%</t>
        </is>
      </c>
      <c r="C21" s="83">
        <f>IF('P&amp;L'!AA6&lt;&gt;0,'P&amp;L'!AA8/'P&amp;L'!AA6,0)</f>
        <v/>
      </c>
      <c r="D21" s="84" t="inlineStr">
        <is>
          <t>—</t>
        </is>
      </c>
      <c r="E21" s="84" t="inlineStr">
        <is>
          <t>—</t>
        </is>
      </c>
      <c r="F21" s="84" t="inlineStr">
        <is>
          <t>—</t>
        </is>
      </c>
      <c r="G21" s="84" t="inlineStr">
        <is>
          <t>—</t>
        </is>
      </c>
    </row>
    <row r="22" ht="14" customHeight="1">
      <c r="A22" s="7" t="inlineStr">
        <is>
          <t>FY2025 Net Income</t>
        </is>
      </c>
      <c r="B22" s="66" t="inlineStr">
        <is>
          <t>$</t>
        </is>
      </c>
      <c r="C22" s="79">
        <f>'P&amp;L'!AA23</f>
        <v/>
      </c>
      <c r="D22" s="80">
        <f>C22*1.2</f>
        <v/>
      </c>
      <c r="E22" s="81">
        <f>C22*0.65</f>
        <v/>
      </c>
      <c r="F22" s="69">
        <f>IF(C22&lt;&gt;0,(D22-C22)/ABS(C22),0)</f>
        <v/>
      </c>
      <c r="G22" s="82">
        <f>IF(C22&lt;&gt;0,(E22-C22)/ABS(C22),0)</f>
        <v/>
      </c>
    </row>
    <row r="23" ht="14" customHeight="1">
      <c r="A23" s="4" t="inlineStr">
        <is>
          <t>FY2026 Revenue</t>
        </is>
      </c>
      <c r="B23" s="70" t="inlineStr">
        <is>
          <t>$</t>
        </is>
      </c>
      <c r="C23" s="79">
        <f>'P&amp;L'!AB6</f>
        <v/>
      </c>
      <c r="D23" s="80">
        <f>C23*1.15</f>
        <v/>
      </c>
      <c r="E23" s="81">
        <f>C23*0.82</f>
        <v/>
      </c>
      <c r="F23" s="69">
        <f>IF(C23&lt;&gt;0,(D23-C23)/ABS(C23),0)</f>
        <v/>
      </c>
      <c r="G23" s="82">
        <f>IF(C23&lt;&gt;0,(E23-C23)/ABS(C23),0)</f>
        <v/>
      </c>
    </row>
    <row r="24" ht="14" customHeight="1">
      <c r="A24" s="7" t="inlineStr">
        <is>
          <t>FY2026 Net Income</t>
        </is>
      </c>
      <c r="B24" s="66" t="inlineStr">
        <is>
          <t>$</t>
        </is>
      </c>
      <c r="C24" s="79">
        <f>'P&amp;L'!AB23</f>
        <v/>
      </c>
      <c r="D24" s="80">
        <f>C24*1.25</f>
        <v/>
      </c>
      <c r="E24" s="81">
        <f>C24*0.6</f>
        <v/>
      </c>
      <c r="F24" s="69">
        <f>IF(C24&lt;&gt;0,(D24-C24)/ABS(C24),0)</f>
        <v/>
      </c>
      <c r="G24" s="82">
        <f>IF(C24&lt;&gt;0,(E24-C24)/ABS(C24),0)</f>
        <v/>
      </c>
    </row>
    <row r="25" ht="14" customHeight="1">
      <c r="A25" s="4" t="inlineStr">
        <is>
          <t>Year-End Cash</t>
        </is>
      </c>
      <c r="B25" s="70" t="inlineStr">
        <is>
          <t>$</t>
        </is>
      </c>
      <c r="C25" s="79">
        <f>'Cash_Flow'!Z17</f>
        <v/>
      </c>
      <c r="D25" s="80">
        <f>C25*1.15</f>
        <v/>
      </c>
      <c r="E25" s="81">
        <f>C25*0.75</f>
        <v/>
      </c>
      <c r="F25" s="69">
        <f>IF(C25&lt;&gt;0,(D25-C25)/ABS(C25),0)</f>
        <v/>
      </c>
      <c r="G25" s="82">
        <f>IF(C25&lt;&gt;0,(E25-C25)/ABS(C25),0)</f>
        <v/>
      </c>
    </row>
  </sheetData>
  <mergeCells count="5">
    <mergeCell ref="A15:H15"/>
    <mergeCell ref="A2:E2"/>
    <mergeCell ref="A16:H16"/>
    <mergeCell ref="A1:E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2026-04-01T11:37:38Z</dcterms:created>
  <dcterms:modified xmlns:dcterms="http://purl.org/dc/terms/" xmlns:xsi="http://www.w3.org/2001/XMLSchema-instance" xsi:type="dcterms:W3CDTF">2026-04-01T11:38:16Z</dcterms:modified>
</cp:coreProperties>
</file>